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0730" windowHeight="11760"/>
  </bookViews>
  <sheets>
    <sheet name="t9-mới" sheetId="1" r:id="rId1"/>
  </sheets>
  <definedNames>
    <definedName name="_xlnm._FilterDatabase" localSheetId="0" hidden="1">'t9-mới'!#REF!</definedName>
    <definedName name="_xlnm.Print_Titles" localSheetId="0">'t9-mới'!$5:$6</definedName>
  </definedNames>
  <calcPr calcId="145621"/>
</workbook>
</file>

<file path=xl/calcChain.xml><?xml version="1.0" encoding="utf-8"?>
<calcChain xmlns="http://schemas.openxmlformats.org/spreadsheetml/2006/main">
  <c r="AB101" i="1" l="1"/>
  <c r="AB93" i="1"/>
  <c r="AB88" i="1"/>
  <c r="AB79" i="1"/>
  <c r="AB73" i="1"/>
  <c r="AB66" i="1"/>
  <c r="AB64" i="1"/>
  <c r="AB61" i="1"/>
  <c r="AB45" i="1"/>
  <c r="AB42" i="1"/>
  <c r="AB29" i="1"/>
  <c r="AB23" i="1"/>
  <c r="AB9" i="1"/>
  <c r="R42" i="1"/>
  <c r="R29" i="1"/>
  <c r="R23" i="1"/>
  <c r="R9" i="1"/>
  <c r="P13" i="1"/>
  <c r="BV48" i="1" l="1"/>
  <c r="BV8" i="1"/>
  <c r="BV60" i="1"/>
  <c r="BU60" i="1" s="1"/>
  <c r="BT60" i="1"/>
  <c r="AH60" i="1"/>
  <c r="AG60" i="1" s="1"/>
  <c r="AF60" i="1"/>
  <c r="AH59" i="1"/>
  <c r="AG59" i="1"/>
  <c r="AF59" i="1"/>
  <c r="AH48" i="1"/>
  <c r="AH45" i="1"/>
  <c r="AH42" i="1"/>
  <c r="AH40" i="1"/>
  <c r="AH29" i="1"/>
  <c r="AH23" i="1"/>
  <c r="AH9" i="1"/>
  <c r="AH10" i="1"/>
  <c r="O70" i="1"/>
  <c r="O66" i="1"/>
  <c r="DC66" i="1"/>
  <c r="DC48" i="1"/>
  <c r="P103" i="1"/>
  <c r="P104" i="1"/>
  <c r="P105" i="1"/>
  <c r="P106" i="1"/>
  <c r="P107" i="1"/>
  <c r="R107" i="1" s="1"/>
  <c r="P108" i="1"/>
  <c r="P109" i="1"/>
  <c r="P110" i="1"/>
  <c r="P111" i="1"/>
  <c r="P112" i="1"/>
  <c r="P113" i="1"/>
  <c r="P114" i="1"/>
  <c r="P115" i="1"/>
  <c r="R115" i="1" s="1"/>
  <c r="P116" i="1"/>
  <c r="P117" i="1"/>
  <c r="P118" i="1"/>
  <c r="P119" i="1"/>
  <c r="P120" i="1"/>
  <c r="P121" i="1"/>
  <c r="P122" i="1"/>
  <c r="P123" i="1"/>
  <c r="R123" i="1" s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02" i="1"/>
  <c r="P95" i="1"/>
  <c r="P96" i="1"/>
  <c r="P97" i="1"/>
  <c r="P98" i="1"/>
  <c r="P99" i="1"/>
  <c r="P94" i="1"/>
  <c r="P90" i="1"/>
  <c r="P91" i="1"/>
  <c r="P92" i="1"/>
  <c r="P89" i="1"/>
  <c r="P81" i="1"/>
  <c r="P82" i="1"/>
  <c r="P83" i="1"/>
  <c r="P84" i="1"/>
  <c r="P85" i="1"/>
  <c r="P86" i="1"/>
  <c r="P87" i="1"/>
  <c r="P80" i="1"/>
  <c r="P75" i="1"/>
  <c r="R75" i="1" s="1"/>
  <c r="P76" i="1"/>
  <c r="P77" i="1"/>
  <c r="R77" i="1" s="1"/>
  <c r="P78" i="1"/>
  <c r="P74" i="1"/>
  <c r="P72" i="1"/>
  <c r="R72" i="1" s="1"/>
  <c r="P71" i="1"/>
  <c r="P70" i="1"/>
  <c r="P69" i="1"/>
  <c r="P68" i="1"/>
  <c r="P67" i="1"/>
  <c r="R68" i="1"/>
  <c r="R70" i="1"/>
  <c r="P65" i="1"/>
  <c r="P63" i="1"/>
  <c r="R63" i="1" s="1"/>
  <c r="P62" i="1"/>
  <c r="P60" i="1"/>
  <c r="P59" i="1"/>
  <c r="P58" i="1"/>
  <c r="P57" i="1"/>
  <c r="P56" i="1"/>
  <c r="P55" i="1"/>
  <c r="P54" i="1"/>
  <c r="P53" i="1"/>
  <c r="P52" i="1"/>
  <c r="P51" i="1"/>
  <c r="P50" i="1"/>
  <c r="P49" i="1"/>
  <c r="P47" i="1"/>
  <c r="P46" i="1"/>
  <c r="P44" i="1"/>
  <c r="R44" i="1" s="1"/>
  <c r="P43" i="1"/>
  <c r="P39" i="1"/>
  <c r="R39" i="1" s="1"/>
  <c r="P38" i="1"/>
  <c r="P37" i="1"/>
  <c r="P36" i="1"/>
  <c r="P35" i="1"/>
  <c r="P34" i="1"/>
  <c r="P33" i="1"/>
  <c r="R33" i="1" s="1"/>
  <c r="P32" i="1"/>
  <c r="P31" i="1"/>
  <c r="R31" i="1" s="1"/>
  <c r="P30" i="1"/>
  <c r="P28" i="1"/>
  <c r="P27" i="1"/>
  <c r="P26" i="1"/>
  <c r="P25" i="1"/>
  <c r="P24" i="1"/>
  <c r="P11" i="1"/>
  <c r="P9" i="1" s="1"/>
  <c r="P12" i="1"/>
  <c r="P14" i="1"/>
  <c r="P15" i="1"/>
  <c r="P16" i="1"/>
  <c r="P17" i="1"/>
  <c r="P18" i="1"/>
  <c r="P19" i="1"/>
  <c r="P20" i="1"/>
  <c r="P21" i="1"/>
  <c r="P22" i="1"/>
  <c r="P10" i="1"/>
  <c r="M101" i="1"/>
  <c r="O93" i="1"/>
  <c r="M93" i="1"/>
  <c r="O88" i="1"/>
  <c r="M88" i="1"/>
  <c r="O79" i="1"/>
  <c r="M79" i="1"/>
  <c r="O73" i="1"/>
  <c r="M73" i="1"/>
  <c r="M66" i="1"/>
  <c r="O64" i="1"/>
  <c r="O61" i="1"/>
  <c r="M45" i="1"/>
  <c r="O42" i="1"/>
  <c r="M42" i="1"/>
  <c r="O29" i="1"/>
  <c r="M29" i="1"/>
  <c r="O23" i="1"/>
  <c r="M23" i="1"/>
  <c r="M9" i="1"/>
  <c r="O9" i="1"/>
  <c r="O10" i="1"/>
  <c r="O8" i="1"/>
  <c r="R102" i="1"/>
  <c r="R40" i="1"/>
  <c r="P29" i="1"/>
  <c r="P23" i="1"/>
  <c r="P40" i="1"/>
  <c r="P42" i="1"/>
  <c r="P45" i="1"/>
  <c r="P48" i="1"/>
  <c r="P61" i="1"/>
  <c r="P73" i="1"/>
  <c r="P79" i="1"/>
  <c r="P88" i="1"/>
  <c r="P93" i="1"/>
  <c r="P101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02" i="1"/>
  <c r="Q95" i="1"/>
  <c r="R95" i="1" s="1"/>
  <c r="R93" i="1" s="1"/>
  <c r="Q96" i="1"/>
  <c r="Q97" i="1"/>
  <c r="R97" i="1" s="1"/>
  <c r="Q98" i="1"/>
  <c r="Q99" i="1"/>
  <c r="R99" i="1" s="1"/>
  <c r="Q94" i="1"/>
  <c r="Q90" i="1"/>
  <c r="Q91" i="1"/>
  <c r="Q92" i="1"/>
  <c r="Q89" i="1"/>
  <c r="Q81" i="1"/>
  <c r="Q82" i="1"/>
  <c r="Q83" i="1"/>
  <c r="Q84" i="1"/>
  <c r="Q85" i="1"/>
  <c r="Q86" i="1"/>
  <c r="Q87" i="1"/>
  <c r="Q78" i="1"/>
  <c r="Q80" i="1"/>
  <c r="Q74" i="1"/>
  <c r="Q68" i="1"/>
  <c r="Q69" i="1"/>
  <c r="Q70" i="1"/>
  <c r="Q71" i="1"/>
  <c r="Q72" i="1"/>
  <c r="Q67" i="1"/>
  <c r="Q65" i="1"/>
  <c r="Q63" i="1"/>
  <c r="Q62" i="1"/>
  <c r="Q50" i="1"/>
  <c r="Q51" i="1"/>
  <c r="Q52" i="1"/>
  <c r="Q53" i="1"/>
  <c r="Q54" i="1"/>
  <c r="Q55" i="1"/>
  <c r="Q56" i="1"/>
  <c r="Q57" i="1"/>
  <c r="Q58" i="1"/>
  <c r="Q59" i="1"/>
  <c r="Q60" i="1"/>
  <c r="Q49" i="1"/>
  <c r="Q47" i="1"/>
  <c r="Q46" i="1"/>
  <c r="Q44" i="1"/>
  <c r="Q43" i="1"/>
  <c r="Q41" i="1"/>
  <c r="Q39" i="1"/>
  <c r="Q38" i="1"/>
  <c r="Q37" i="1"/>
  <c r="Q36" i="1"/>
  <c r="R36" i="1" s="1"/>
  <c r="Q35" i="1"/>
  <c r="Q34" i="1"/>
  <c r="Q33" i="1"/>
  <c r="Q32" i="1"/>
  <c r="R32" i="1" s="1"/>
  <c r="Q31" i="1"/>
  <c r="Q30" i="1"/>
  <c r="R30" i="1" s="1"/>
  <c r="R35" i="1"/>
  <c r="R37" i="1"/>
  <c r="Q28" i="1"/>
  <c r="Q27" i="1"/>
  <c r="Q26" i="1"/>
  <c r="Q25" i="1"/>
  <c r="Q24" i="1"/>
  <c r="Q11" i="1"/>
  <c r="Q12" i="1"/>
  <c r="Q13" i="1"/>
  <c r="Q14" i="1"/>
  <c r="Q15" i="1"/>
  <c r="Q16" i="1"/>
  <c r="Q17" i="1"/>
  <c r="Q18" i="1"/>
  <c r="Q19" i="1"/>
  <c r="Q20" i="1"/>
  <c r="Q21" i="1"/>
  <c r="Q22" i="1"/>
  <c r="Q10" i="1"/>
  <c r="R10" i="1"/>
  <c r="R103" i="1"/>
  <c r="R111" i="1"/>
  <c r="R11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R104" i="1"/>
  <c r="R106" i="1"/>
  <c r="R108" i="1"/>
  <c r="R110" i="1"/>
  <c r="R112" i="1"/>
  <c r="R114" i="1"/>
  <c r="R116" i="1"/>
  <c r="R118" i="1"/>
  <c r="R120" i="1"/>
  <c r="R122" i="1"/>
  <c r="R124" i="1"/>
  <c r="R96" i="1"/>
  <c r="R98" i="1"/>
  <c r="R94" i="1"/>
  <c r="R91" i="1"/>
  <c r="R89" i="1"/>
  <c r="R81" i="1"/>
  <c r="R79" i="1" s="1"/>
  <c r="R82" i="1"/>
  <c r="R83" i="1"/>
  <c r="R84" i="1"/>
  <c r="R85" i="1"/>
  <c r="R86" i="1"/>
  <c r="R87" i="1"/>
  <c r="R80" i="1"/>
  <c r="R76" i="1"/>
  <c r="R78" i="1"/>
  <c r="R74" i="1"/>
  <c r="R69" i="1"/>
  <c r="R71" i="1"/>
  <c r="R67" i="1"/>
  <c r="R65" i="1"/>
  <c r="R64" i="1" s="1"/>
  <c r="R62" i="1"/>
  <c r="R61" i="1" s="1"/>
  <c r="R60" i="1"/>
  <c r="R51" i="1"/>
  <c r="R53" i="1"/>
  <c r="R55" i="1"/>
  <c r="R57" i="1"/>
  <c r="R59" i="1"/>
  <c r="R49" i="1"/>
  <c r="R47" i="1"/>
  <c r="R45" i="1" s="1"/>
  <c r="R46" i="1"/>
  <c r="R43" i="1"/>
  <c r="R41" i="1"/>
  <c r="R34" i="1"/>
  <c r="R38" i="1"/>
  <c r="R25" i="1"/>
  <c r="R26" i="1"/>
  <c r="R27" i="1"/>
  <c r="R28" i="1"/>
  <c r="R11" i="1"/>
  <c r="R12" i="1"/>
  <c r="R13" i="1"/>
  <c r="R14" i="1"/>
  <c r="R16" i="1"/>
  <c r="R17" i="1"/>
  <c r="R18" i="1"/>
  <c r="R19" i="1"/>
  <c r="R20" i="1"/>
  <c r="R21" i="1"/>
  <c r="R22" i="1"/>
  <c r="O60" i="1"/>
  <c r="M48" i="1"/>
  <c r="O48" i="1"/>
  <c r="N60" i="1"/>
  <c r="N51" i="1"/>
  <c r="R121" i="1" l="1"/>
  <c r="R117" i="1"/>
  <c r="R113" i="1"/>
  <c r="R109" i="1"/>
  <c r="R105" i="1"/>
  <c r="R92" i="1"/>
  <c r="R90" i="1"/>
  <c r="R73" i="1"/>
  <c r="R66" i="1"/>
  <c r="P66" i="1"/>
  <c r="R58" i="1"/>
  <c r="R56" i="1"/>
  <c r="R54" i="1"/>
  <c r="R52" i="1"/>
  <c r="R48" i="1" s="1"/>
  <c r="R50" i="1"/>
  <c r="R24" i="1"/>
  <c r="BO48" i="1"/>
  <c r="BO78" i="1"/>
  <c r="BO77" i="1"/>
  <c r="BO76" i="1"/>
  <c r="BO75" i="1"/>
  <c r="BO74" i="1"/>
  <c r="BO72" i="1"/>
  <c r="BO71" i="1"/>
  <c r="BO70" i="1"/>
  <c r="BO69" i="1"/>
  <c r="BO68" i="1"/>
  <c r="BO67" i="1"/>
  <c r="BO65" i="1"/>
  <c r="BO63" i="1"/>
  <c r="BO62" i="1"/>
  <c r="BO47" i="1"/>
  <c r="BO46" i="1"/>
  <c r="BO44" i="1"/>
  <c r="BO43" i="1"/>
  <c r="BO41" i="1"/>
  <c r="R88" i="1" l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99" i="1"/>
  <c r="L98" i="1"/>
  <c r="L97" i="1"/>
  <c r="L96" i="1"/>
  <c r="L95" i="1"/>
  <c r="L94" i="1"/>
  <c r="L92" i="1"/>
  <c r="L91" i="1"/>
  <c r="L90" i="1"/>
  <c r="L89" i="1"/>
  <c r="L87" i="1"/>
  <c r="L86" i="1"/>
  <c r="L85" i="1"/>
  <c r="L84" i="1"/>
  <c r="L83" i="1"/>
  <c r="L82" i="1"/>
  <c r="L81" i="1"/>
  <c r="L80" i="1"/>
  <c r="L78" i="1"/>
  <c r="L77" i="1"/>
  <c r="L76" i="1"/>
  <c r="L75" i="1"/>
  <c r="L74" i="1"/>
  <c r="L72" i="1"/>
  <c r="L71" i="1"/>
  <c r="L70" i="1"/>
  <c r="L69" i="1"/>
  <c r="L68" i="1"/>
  <c r="L67" i="1"/>
  <c r="L65" i="1"/>
  <c r="L63" i="1"/>
  <c r="L62" i="1"/>
  <c r="L60" i="1"/>
  <c r="L59" i="1"/>
  <c r="L58" i="1"/>
  <c r="L57" i="1"/>
  <c r="L56" i="1"/>
  <c r="L55" i="1"/>
  <c r="L54" i="1"/>
  <c r="L53" i="1"/>
  <c r="L52" i="1"/>
  <c r="L51" i="1"/>
  <c r="L50" i="1"/>
  <c r="L49" i="1"/>
  <c r="L47" i="1"/>
  <c r="L46" i="1"/>
  <c r="L44" i="1"/>
  <c r="L43" i="1"/>
  <c r="L41" i="1"/>
  <c r="L39" i="1"/>
  <c r="L38" i="1"/>
  <c r="L37" i="1"/>
  <c r="L36" i="1"/>
  <c r="L35" i="1"/>
  <c r="L34" i="1"/>
  <c r="L33" i="1"/>
  <c r="L32" i="1"/>
  <c r="L31" i="1"/>
  <c r="L30" i="1"/>
  <c r="L28" i="1"/>
  <c r="L27" i="1"/>
  <c r="L26" i="1"/>
  <c r="L25" i="1"/>
  <c r="L24" i="1"/>
  <c r="L11" i="1"/>
  <c r="L12" i="1"/>
  <c r="L13" i="1"/>
  <c r="L14" i="1"/>
  <c r="L15" i="1"/>
  <c r="L16" i="1"/>
  <c r="L17" i="1"/>
  <c r="L18" i="1"/>
  <c r="L19" i="1"/>
  <c r="L20" i="1"/>
  <c r="L21" i="1"/>
  <c r="L22" i="1"/>
  <c r="L10" i="1"/>
  <c r="I9" i="1"/>
  <c r="G9" i="1"/>
  <c r="I23" i="1"/>
  <c r="G23" i="1"/>
  <c r="I29" i="1"/>
  <c r="G29" i="1"/>
  <c r="I40" i="1"/>
  <c r="G40" i="1"/>
  <c r="I42" i="1"/>
  <c r="G42" i="1"/>
  <c r="I45" i="1"/>
  <c r="G45" i="1"/>
  <c r="I48" i="1"/>
  <c r="G48" i="1"/>
  <c r="I61" i="1"/>
  <c r="G61" i="1"/>
  <c r="I64" i="1"/>
  <c r="G64" i="1"/>
  <c r="I66" i="1"/>
  <c r="G66" i="1"/>
  <c r="J66" i="1"/>
  <c r="I73" i="1"/>
  <c r="G73" i="1"/>
  <c r="I79" i="1"/>
  <c r="G79" i="1"/>
  <c r="I88" i="1"/>
  <c r="G88" i="1"/>
  <c r="I93" i="1"/>
  <c r="G93" i="1"/>
  <c r="J93" i="1"/>
  <c r="I101" i="1"/>
  <c r="G101" i="1"/>
  <c r="I160" i="1"/>
  <c r="G160" i="1"/>
  <c r="J160" i="1"/>
  <c r="L66" i="1" l="1"/>
  <c r="AE48" i="1"/>
  <c r="AC48" i="1"/>
  <c r="Z48" i="1"/>
  <c r="J48" i="1"/>
  <c r="AB60" i="1"/>
  <c r="AB48" i="1" s="1"/>
  <c r="L159" i="1" l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48" i="1"/>
  <c r="CZ73" i="1" l="1"/>
  <c r="CZ66" i="1"/>
  <c r="CZ61" i="1"/>
  <c r="CX101" i="1"/>
  <c r="CY99" i="1"/>
  <c r="CZ99" i="1" s="1"/>
  <c r="CY98" i="1"/>
  <c r="CZ98" i="1" s="1"/>
  <c r="CY97" i="1"/>
  <c r="CZ97" i="1" s="1"/>
  <c r="CY96" i="1"/>
  <c r="CZ96" i="1" s="1"/>
  <c r="CY95" i="1"/>
  <c r="CZ95" i="1" s="1"/>
  <c r="CY94" i="1"/>
  <c r="CZ94" i="1" s="1"/>
  <c r="CX93" i="1"/>
  <c r="CY92" i="1"/>
  <c r="CZ92" i="1" s="1"/>
  <c r="CY91" i="1"/>
  <c r="CZ91" i="1" s="1"/>
  <c r="CY90" i="1"/>
  <c r="CZ90" i="1" s="1"/>
  <c r="CY89" i="1"/>
  <c r="CZ89" i="1" s="1"/>
  <c r="CX88" i="1"/>
  <c r="CX79" i="1"/>
  <c r="CX73" i="1"/>
  <c r="CY65" i="1"/>
  <c r="CZ65" i="1" s="1"/>
  <c r="CX66" i="1"/>
  <c r="CX64" i="1"/>
  <c r="CX61" i="1"/>
  <c r="CX48" i="1"/>
  <c r="CY47" i="1"/>
  <c r="CZ47" i="1" s="1"/>
  <c r="CY46" i="1"/>
  <c r="CZ46" i="1" s="1"/>
  <c r="CX45" i="1"/>
  <c r="CY44" i="1"/>
  <c r="CZ44" i="1" s="1"/>
  <c r="CY43" i="1"/>
  <c r="CZ43" i="1" s="1"/>
  <c r="CX42" i="1"/>
  <c r="CX40" i="1"/>
  <c r="CX29" i="1"/>
  <c r="CX23" i="1"/>
  <c r="CX9" i="1"/>
  <c r="P41" i="1"/>
  <c r="N82" i="1"/>
  <c r="AH26" i="1"/>
  <c r="AH27" i="1"/>
  <c r="AH28" i="1"/>
  <c r="BL65" i="1"/>
  <c r="BL47" i="1"/>
  <c r="BL46" i="1"/>
  <c r="BL41" i="1"/>
  <c r="BL39" i="1"/>
  <c r="AH39" i="1" s="1"/>
  <c r="BL38" i="1"/>
  <c r="AH38" i="1" s="1"/>
  <c r="BL37" i="1"/>
  <c r="AH37" i="1" s="1"/>
  <c r="BL36" i="1"/>
  <c r="AH36" i="1" s="1"/>
  <c r="BL35" i="1"/>
  <c r="AH35" i="1" s="1"/>
  <c r="BL34" i="1"/>
  <c r="AH34" i="1" s="1"/>
  <c r="BL33" i="1"/>
  <c r="AH33" i="1" s="1"/>
  <c r="BL32" i="1"/>
  <c r="AH32" i="1" s="1"/>
  <c r="BL31" i="1"/>
  <c r="AH31" i="1" s="1"/>
  <c r="BL30" i="1"/>
  <c r="AH30" i="1" s="1"/>
  <c r="CX8" i="1" l="1"/>
  <c r="AE79" i="1"/>
  <c r="AE73" i="1"/>
  <c r="AE66" i="1"/>
  <c r="AE64" i="1"/>
  <c r="AE61" i="1"/>
  <c r="AE45" i="1"/>
  <c r="AE42" i="1"/>
  <c r="AE40" i="1"/>
  <c r="AE160" i="1"/>
  <c r="AC160" i="1"/>
  <c r="AE101" i="1"/>
  <c r="AC101" i="1"/>
  <c r="AE93" i="1"/>
  <c r="AC93" i="1"/>
  <c r="AE88" i="1"/>
  <c r="AC88" i="1"/>
  <c r="AC79" i="1"/>
  <c r="AC73" i="1"/>
  <c r="AC66" i="1"/>
  <c r="AC64" i="1"/>
  <c r="AC61" i="1"/>
  <c r="AC45" i="1"/>
  <c r="AC42" i="1"/>
  <c r="AC40" i="1"/>
  <c r="AE29" i="1"/>
  <c r="AC29" i="1"/>
  <c r="AC23" i="1"/>
  <c r="AE23" i="1"/>
  <c r="AC9" i="1"/>
  <c r="AE9" i="1"/>
  <c r="AC8" i="1" l="1"/>
  <c r="AF10" i="1"/>
  <c r="Z101" i="1" l="1"/>
  <c r="Z93" i="1"/>
  <c r="Z88" i="1"/>
  <c r="Z79" i="1"/>
  <c r="Z73" i="1"/>
  <c r="Z66" i="1"/>
  <c r="Z64" i="1"/>
  <c r="Z61" i="1"/>
  <c r="Z45" i="1"/>
  <c r="Z42" i="1"/>
  <c r="Z40" i="1"/>
  <c r="Z29" i="1"/>
  <c r="Z23" i="1"/>
  <c r="Z9" i="1"/>
  <c r="T8" i="1"/>
  <c r="Y8" i="1"/>
  <c r="X8" i="1"/>
  <c r="W8" i="1"/>
  <c r="V8" i="1"/>
  <c r="U8" i="1"/>
  <c r="AH41" i="1"/>
  <c r="CU8" i="1"/>
  <c r="BG8" i="1"/>
  <c r="P64" i="1" l="1"/>
  <c r="P8" i="1" s="1"/>
  <c r="M160" i="1"/>
  <c r="M64" i="1"/>
  <c r="M61" i="1"/>
  <c r="J40" i="1"/>
  <c r="J8" i="1" s="1"/>
  <c r="M40" i="1"/>
  <c r="N116" i="1" l="1"/>
  <c r="AB10" i="1"/>
  <c r="AB167" i="1"/>
  <c r="AB166" i="1"/>
  <c r="AB165" i="1"/>
  <c r="AB164" i="1"/>
  <c r="AB163" i="1"/>
  <c r="AB162" i="1"/>
  <c r="AB161" i="1"/>
  <c r="Z160" i="1"/>
  <c r="Z8" i="1" s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99" i="1"/>
  <c r="AB98" i="1"/>
  <c r="AB97" i="1"/>
  <c r="AB96" i="1"/>
  <c r="AB95" i="1"/>
  <c r="AB94" i="1"/>
  <c r="AB92" i="1"/>
  <c r="AB91" i="1"/>
  <c r="AB90" i="1"/>
  <c r="AB89" i="1"/>
  <c r="AB87" i="1"/>
  <c r="AB86" i="1"/>
  <c r="AB85" i="1"/>
  <c r="AB84" i="1"/>
  <c r="AB83" i="1"/>
  <c r="AB82" i="1"/>
  <c r="AB81" i="1"/>
  <c r="AB80" i="1"/>
  <c r="AB78" i="1"/>
  <c r="AB77" i="1"/>
  <c r="AB76" i="1"/>
  <c r="AB75" i="1"/>
  <c r="AB74" i="1"/>
  <c r="AB72" i="1"/>
  <c r="AB71" i="1"/>
  <c r="AB70" i="1"/>
  <c r="AB69" i="1"/>
  <c r="AB68" i="1"/>
  <c r="AB67" i="1"/>
  <c r="AB65" i="1"/>
  <c r="AB63" i="1"/>
  <c r="AB62" i="1"/>
  <c r="AB59" i="1"/>
  <c r="AB58" i="1"/>
  <c r="AB57" i="1"/>
  <c r="AB56" i="1"/>
  <c r="AB55" i="1"/>
  <c r="AB54" i="1"/>
  <c r="AB53" i="1"/>
  <c r="AB52" i="1"/>
  <c r="AB51" i="1"/>
  <c r="AB50" i="1"/>
  <c r="AB49" i="1"/>
  <c r="AB47" i="1"/>
  <c r="AB46" i="1"/>
  <c r="AB44" i="1"/>
  <c r="AB43" i="1"/>
  <c r="AB41" i="1"/>
  <c r="AB40" i="1" s="1"/>
  <c r="AB39" i="1"/>
  <c r="AB38" i="1"/>
  <c r="AB37" i="1"/>
  <c r="AB36" i="1"/>
  <c r="AB35" i="1"/>
  <c r="AB34" i="1"/>
  <c r="AB33" i="1"/>
  <c r="AB32" i="1"/>
  <c r="AB31" i="1"/>
  <c r="AB30" i="1"/>
  <c r="AB28" i="1"/>
  <c r="AB27" i="1"/>
  <c r="AB26" i="1"/>
  <c r="AB25" i="1"/>
  <c r="AB24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N167" i="1"/>
  <c r="Q167" i="1" s="1"/>
  <c r="N166" i="1"/>
  <c r="Q166" i="1" s="1"/>
  <c r="N165" i="1"/>
  <c r="Q165" i="1" s="1"/>
  <c r="N164" i="1"/>
  <c r="Q164" i="1" s="1"/>
  <c r="N163" i="1"/>
  <c r="Q163" i="1" s="1"/>
  <c r="N162" i="1"/>
  <c r="Q162" i="1" s="1"/>
  <c r="N161" i="1"/>
  <c r="Q161" i="1" s="1"/>
  <c r="N159" i="1"/>
  <c r="Q159" i="1" s="1"/>
  <c r="R159" i="1" s="1"/>
  <c r="N158" i="1"/>
  <c r="Q158" i="1" s="1"/>
  <c r="R158" i="1" s="1"/>
  <c r="N157" i="1"/>
  <c r="Q157" i="1" s="1"/>
  <c r="R157" i="1" s="1"/>
  <c r="N156" i="1"/>
  <c r="R156" i="1" s="1"/>
  <c r="N155" i="1"/>
  <c r="R155" i="1" s="1"/>
  <c r="N154" i="1"/>
  <c r="R154" i="1" s="1"/>
  <c r="N153" i="1"/>
  <c r="R153" i="1" s="1"/>
  <c r="N152" i="1"/>
  <c r="R152" i="1" s="1"/>
  <c r="N151" i="1"/>
  <c r="R151" i="1" s="1"/>
  <c r="N150" i="1"/>
  <c r="R150" i="1" s="1"/>
  <c r="N149" i="1"/>
  <c r="R149" i="1" s="1"/>
  <c r="N148" i="1"/>
  <c r="R148" i="1" s="1"/>
  <c r="N147" i="1"/>
  <c r="R147" i="1" s="1"/>
  <c r="N146" i="1"/>
  <c r="R146" i="1" s="1"/>
  <c r="N145" i="1"/>
  <c r="R145" i="1" s="1"/>
  <c r="N144" i="1"/>
  <c r="R144" i="1" s="1"/>
  <c r="N143" i="1"/>
  <c r="R143" i="1" s="1"/>
  <c r="N142" i="1"/>
  <c r="R142" i="1" s="1"/>
  <c r="N141" i="1"/>
  <c r="R141" i="1" s="1"/>
  <c r="N140" i="1"/>
  <c r="R140" i="1" s="1"/>
  <c r="N139" i="1"/>
  <c r="R139" i="1" s="1"/>
  <c r="N138" i="1"/>
  <c r="R138" i="1" s="1"/>
  <c r="N137" i="1"/>
  <c r="R137" i="1" s="1"/>
  <c r="N136" i="1"/>
  <c r="R136" i="1" s="1"/>
  <c r="N135" i="1"/>
  <c r="R135" i="1" s="1"/>
  <c r="N134" i="1"/>
  <c r="R134" i="1" s="1"/>
  <c r="N133" i="1"/>
  <c r="R133" i="1" s="1"/>
  <c r="N132" i="1"/>
  <c r="R132" i="1" s="1"/>
  <c r="N131" i="1"/>
  <c r="R131" i="1" s="1"/>
  <c r="N130" i="1"/>
  <c r="R130" i="1" s="1"/>
  <c r="N129" i="1"/>
  <c r="R129" i="1" s="1"/>
  <c r="N128" i="1"/>
  <c r="R128" i="1" s="1"/>
  <c r="N127" i="1"/>
  <c r="R127" i="1" s="1"/>
  <c r="N126" i="1"/>
  <c r="R126" i="1" s="1"/>
  <c r="N125" i="1"/>
  <c r="R125" i="1" s="1"/>
  <c r="R101" i="1" s="1"/>
  <c r="R8" i="1" s="1"/>
  <c r="N124" i="1"/>
  <c r="N123" i="1"/>
  <c r="N122" i="1"/>
  <c r="N121" i="1"/>
  <c r="N120" i="1"/>
  <c r="N119" i="1"/>
  <c r="N118" i="1"/>
  <c r="N117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99" i="1"/>
  <c r="N98" i="1"/>
  <c r="N97" i="1"/>
  <c r="N96" i="1"/>
  <c r="N95" i="1"/>
  <c r="N94" i="1"/>
  <c r="N92" i="1"/>
  <c r="N91" i="1"/>
  <c r="N90" i="1"/>
  <c r="N89" i="1"/>
  <c r="N87" i="1"/>
  <c r="N86" i="1"/>
  <c r="N85" i="1"/>
  <c r="N84" i="1"/>
  <c r="N83" i="1"/>
  <c r="N81" i="1"/>
  <c r="N80" i="1"/>
  <c r="N78" i="1"/>
  <c r="N77" i="1"/>
  <c r="Q77" i="1" s="1"/>
  <c r="N76" i="1"/>
  <c r="Q76" i="1" s="1"/>
  <c r="N75" i="1"/>
  <c r="Q75" i="1" s="1"/>
  <c r="N74" i="1"/>
  <c r="N72" i="1"/>
  <c r="N71" i="1"/>
  <c r="N70" i="1"/>
  <c r="N69" i="1"/>
  <c r="N68" i="1"/>
  <c r="N67" i="1"/>
  <c r="N65" i="1"/>
  <c r="N63" i="1"/>
  <c r="N62" i="1"/>
  <c r="N59" i="1"/>
  <c r="N58" i="1"/>
  <c r="N57" i="1"/>
  <c r="N56" i="1"/>
  <c r="N55" i="1"/>
  <c r="N54" i="1"/>
  <c r="N53" i="1"/>
  <c r="N52" i="1"/>
  <c r="N50" i="1"/>
  <c r="N49" i="1"/>
  <c r="N47" i="1"/>
  <c r="N46" i="1"/>
  <c r="N44" i="1"/>
  <c r="N43" i="1"/>
  <c r="N39" i="1"/>
  <c r="N38" i="1"/>
  <c r="N37" i="1"/>
  <c r="N36" i="1"/>
  <c r="N35" i="1"/>
  <c r="N34" i="1"/>
  <c r="N33" i="1"/>
  <c r="N32" i="1"/>
  <c r="N31" i="1"/>
  <c r="N30" i="1"/>
  <c r="N28" i="1"/>
  <c r="N27" i="1"/>
  <c r="N26" i="1"/>
  <c r="N25" i="1"/>
  <c r="N24" i="1"/>
  <c r="N11" i="1"/>
  <c r="N12" i="1"/>
  <c r="N13" i="1"/>
  <c r="N14" i="1"/>
  <c r="N15" i="1"/>
  <c r="N16" i="1"/>
  <c r="N17" i="1"/>
  <c r="N18" i="1"/>
  <c r="N19" i="1"/>
  <c r="N20" i="1"/>
  <c r="N21" i="1"/>
  <c r="N22" i="1"/>
  <c r="N10" i="1"/>
  <c r="P167" i="1"/>
  <c r="P166" i="1"/>
  <c r="R166" i="1" s="1"/>
  <c r="P165" i="1"/>
  <c r="P164" i="1"/>
  <c r="R164" i="1" s="1"/>
  <c r="P163" i="1"/>
  <c r="P162" i="1"/>
  <c r="R162" i="1" s="1"/>
  <c r="P161" i="1"/>
  <c r="J9" i="1"/>
  <c r="J23" i="1"/>
  <c r="J29" i="1"/>
  <c r="J42" i="1"/>
  <c r="J45" i="1"/>
  <c r="J61" i="1"/>
  <c r="J64" i="1"/>
  <c r="J73" i="1"/>
  <c r="J79" i="1"/>
  <c r="J88" i="1"/>
  <c r="J101" i="1"/>
  <c r="L167" i="1"/>
  <c r="L166" i="1"/>
  <c r="L165" i="1"/>
  <c r="L164" i="1"/>
  <c r="L163" i="1"/>
  <c r="L162" i="1"/>
  <c r="L161" i="1"/>
  <c r="L101" i="1"/>
  <c r="L64" i="1"/>
  <c r="L61" i="1"/>
  <c r="R161" i="1" l="1"/>
  <c r="R160" i="1" s="1"/>
  <c r="R163" i="1"/>
  <c r="R165" i="1"/>
  <c r="R167" i="1"/>
  <c r="L160" i="1"/>
  <c r="L79" i="1"/>
  <c r="M8" i="1"/>
  <c r="O116" i="1"/>
  <c r="O120" i="1"/>
  <c r="O124" i="1"/>
  <c r="O128" i="1"/>
  <c r="O132" i="1"/>
  <c r="O136" i="1"/>
  <c r="O140" i="1"/>
  <c r="O144" i="1"/>
  <c r="O148" i="1"/>
  <c r="O152" i="1"/>
  <c r="O156" i="1"/>
  <c r="O161" i="1"/>
  <c r="O165" i="1"/>
  <c r="O118" i="1"/>
  <c r="O122" i="1"/>
  <c r="O126" i="1"/>
  <c r="O130" i="1"/>
  <c r="O134" i="1"/>
  <c r="O138" i="1"/>
  <c r="O142" i="1"/>
  <c r="O146" i="1"/>
  <c r="O150" i="1"/>
  <c r="O154" i="1"/>
  <c r="O158" i="1"/>
  <c r="O163" i="1"/>
  <c r="O167" i="1"/>
  <c r="O21" i="1"/>
  <c r="O25" i="1"/>
  <c r="L73" i="1"/>
  <c r="P160" i="1"/>
  <c r="O22" i="1"/>
  <c r="O20" i="1"/>
  <c r="O18" i="1"/>
  <c r="O16" i="1"/>
  <c r="O14" i="1"/>
  <c r="O12" i="1"/>
  <c r="O24" i="1"/>
  <c r="O26" i="1"/>
  <c r="O28" i="1"/>
  <c r="O31" i="1"/>
  <c r="O33" i="1"/>
  <c r="O35" i="1"/>
  <c r="O37" i="1"/>
  <c r="O39" i="1"/>
  <c r="O43" i="1"/>
  <c r="O46" i="1"/>
  <c r="O49" i="1"/>
  <c r="O51" i="1"/>
  <c r="O53" i="1"/>
  <c r="O55" i="1"/>
  <c r="O57" i="1"/>
  <c r="O59" i="1"/>
  <c r="O63" i="1"/>
  <c r="O67" i="1"/>
  <c r="O69" i="1"/>
  <c r="O71" i="1"/>
  <c r="O74" i="1"/>
  <c r="O76" i="1"/>
  <c r="O78" i="1"/>
  <c r="O81" i="1"/>
  <c r="O83" i="1"/>
  <c r="O85" i="1"/>
  <c r="O87" i="1"/>
  <c r="O90" i="1"/>
  <c r="O92" i="1"/>
  <c r="O95" i="1"/>
  <c r="O97" i="1"/>
  <c r="O99" i="1"/>
  <c r="O103" i="1"/>
  <c r="O105" i="1"/>
  <c r="O107" i="1"/>
  <c r="O109" i="1"/>
  <c r="O111" i="1"/>
  <c r="O113" i="1"/>
  <c r="O115" i="1"/>
  <c r="O117" i="1"/>
  <c r="O119" i="1"/>
  <c r="O121" i="1"/>
  <c r="O123" i="1"/>
  <c r="O125" i="1"/>
  <c r="O127" i="1"/>
  <c r="O129" i="1"/>
  <c r="O131" i="1"/>
  <c r="O133" i="1"/>
  <c r="O135" i="1"/>
  <c r="O137" i="1"/>
  <c r="O139" i="1"/>
  <c r="O141" i="1"/>
  <c r="O143" i="1"/>
  <c r="O145" i="1"/>
  <c r="O147" i="1"/>
  <c r="O149" i="1"/>
  <c r="O151" i="1"/>
  <c r="O153" i="1"/>
  <c r="O155" i="1"/>
  <c r="O157" i="1"/>
  <c r="O159" i="1"/>
  <c r="O162" i="1"/>
  <c r="O164" i="1"/>
  <c r="O166" i="1"/>
  <c r="O19" i="1"/>
  <c r="O17" i="1"/>
  <c r="O15" i="1"/>
  <c r="O13" i="1"/>
  <c r="O11" i="1"/>
  <c r="O27" i="1"/>
  <c r="O30" i="1"/>
  <c r="O32" i="1"/>
  <c r="O34" i="1"/>
  <c r="O36" i="1"/>
  <c r="O38" i="1"/>
  <c r="O44" i="1"/>
  <c r="O47" i="1"/>
  <c r="O50" i="1"/>
  <c r="O52" i="1"/>
  <c r="O54" i="1"/>
  <c r="O56" i="1"/>
  <c r="O58" i="1"/>
  <c r="O62" i="1"/>
  <c r="O65" i="1"/>
  <c r="O68" i="1"/>
  <c r="O72" i="1"/>
  <c r="O75" i="1"/>
  <c r="O77" i="1"/>
  <c r="O80" i="1"/>
  <c r="O82" i="1"/>
  <c r="O84" i="1"/>
  <c r="O86" i="1"/>
  <c r="O89" i="1"/>
  <c r="O91" i="1"/>
  <c r="O94" i="1"/>
  <c r="O96" i="1"/>
  <c r="O98" i="1"/>
  <c r="O102" i="1"/>
  <c r="O104" i="1"/>
  <c r="O106" i="1"/>
  <c r="O108" i="1"/>
  <c r="O110" i="1"/>
  <c r="O112" i="1"/>
  <c r="O114" i="1"/>
  <c r="AB160" i="1"/>
  <c r="L42" i="1"/>
  <c r="L45" i="1"/>
  <c r="L9" i="1"/>
  <c r="L88" i="1"/>
  <c r="L23" i="1"/>
  <c r="L93" i="1"/>
  <c r="L29" i="1"/>
  <c r="CQ101" i="1"/>
  <c r="CQ93" i="1"/>
  <c r="CQ88" i="1"/>
  <c r="CQ79" i="1"/>
  <c r="CQ73" i="1"/>
  <c r="CQ66" i="1"/>
  <c r="CQ64" i="1"/>
  <c r="CQ61" i="1"/>
  <c r="CQ48" i="1"/>
  <c r="CQ45" i="1"/>
  <c r="CQ42" i="1"/>
  <c r="CQ29" i="1"/>
  <c r="CQ23" i="1"/>
  <c r="CQ9" i="1"/>
  <c r="BT16" i="1"/>
  <c r="DF160" i="1"/>
  <c r="DC160" i="1"/>
  <c r="CZ160" i="1"/>
  <c r="CT160" i="1"/>
  <c r="CQ160" i="1"/>
  <c r="CN160" i="1"/>
  <c r="CK160" i="1"/>
  <c r="CH160" i="1"/>
  <c r="CE160" i="1"/>
  <c r="DF101" i="1"/>
  <c r="DC101" i="1"/>
  <c r="CZ101" i="1"/>
  <c r="CT101" i="1"/>
  <c r="CN101" i="1"/>
  <c r="CK101" i="1"/>
  <c r="CH101" i="1"/>
  <c r="CE101" i="1"/>
  <c r="DF93" i="1"/>
  <c r="DC93" i="1"/>
  <c r="CZ93" i="1"/>
  <c r="CT93" i="1"/>
  <c r="CN93" i="1"/>
  <c r="CK93" i="1"/>
  <c r="CH93" i="1"/>
  <c r="CE93" i="1"/>
  <c r="DF88" i="1"/>
  <c r="DC88" i="1"/>
  <c r="CZ88" i="1"/>
  <c r="CT88" i="1"/>
  <c r="CN88" i="1"/>
  <c r="CK88" i="1"/>
  <c r="CH88" i="1"/>
  <c r="CE88" i="1"/>
  <c r="DF79" i="1"/>
  <c r="DC79" i="1"/>
  <c r="CZ79" i="1"/>
  <c r="CT79" i="1"/>
  <c r="CN79" i="1"/>
  <c r="CK79" i="1"/>
  <c r="CH79" i="1"/>
  <c r="CE79" i="1"/>
  <c r="DF73" i="1"/>
  <c r="DC73" i="1"/>
  <c r="CT73" i="1"/>
  <c r="CN73" i="1"/>
  <c r="CK73" i="1"/>
  <c r="CH73" i="1"/>
  <c r="CE73" i="1"/>
  <c r="DF66" i="1"/>
  <c r="CT66" i="1"/>
  <c r="CN66" i="1"/>
  <c r="CK66" i="1"/>
  <c r="CH66" i="1"/>
  <c r="CE66" i="1"/>
  <c r="DF64" i="1"/>
  <c r="DC64" i="1"/>
  <c r="CZ64" i="1"/>
  <c r="CT64" i="1"/>
  <c r="CN64" i="1"/>
  <c r="CK64" i="1"/>
  <c r="CH64" i="1"/>
  <c r="CE64" i="1"/>
  <c r="DF61" i="1"/>
  <c r="DC61" i="1"/>
  <c r="CT61" i="1"/>
  <c r="CN61" i="1"/>
  <c r="CK61" i="1"/>
  <c r="CH61" i="1"/>
  <c r="CE61" i="1"/>
  <c r="DF48" i="1"/>
  <c r="CZ48" i="1"/>
  <c r="CT48" i="1"/>
  <c r="CN48" i="1"/>
  <c r="CK48" i="1"/>
  <c r="CH48" i="1"/>
  <c r="CE48" i="1"/>
  <c r="DF45" i="1"/>
  <c r="DC45" i="1"/>
  <c r="CZ45" i="1"/>
  <c r="CT45" i="1"/>
  <c r="CN45" i="1"/>
  <c r="CK45" i="1"/>
  <c r="CH45" i="1"/>
  <c r="CE45" i="1"/>
  <c r="DF42" i="1"/>
  <c r="DC42" i="1"/>
  <c r="CZ42" i="1"/>
  <c r="CT42" i="1"/>
  <c r="CN42" i="1"/>
  <c r="CK42" i="1"/>
  <c r="CH42" i="1"/>
  <c r="CE42" i="1"/>
  <c r="DF40" i="1"/>
  <c r="DC40" i="1"/>
  <c r="CZ40" i="1"/>
  <c r="CT40" i="1"/>
  <c r="CQ40" i="1"/>
  <c r="CN40" i="1"/>
  <c r="CK40" i="1"/>
  <c r="CH40" i="1"/>
  <c r="CE40" i="1"/>
  <c r="DF29" i="1"/>
  <c r="DC29" i="1"/>
  <c r="CZ29" i="1"/>
  <c r="CT29" i="1"/>
  <c r="CN29" i="1"/>
  <c r="CK29" i="1"/>
  <c r="CH29" i="1"/>
  <c r="CE29" i="1"/>
  <c r="DF23" i="1"/>
  <c r="DC23" i="1"/>
  <c r="CZ23" i="1"/>
  <c r="CT23" i="1"/>
  <c r="CN23" i="1"/>
  <c r="CK23" i="1"/>
  <c r="CH23" i="1"/>
  <c r="CE23" i="1"/>
  <c r="DF9" i="1"/>
  <c r="DC9" i="1"/>
  <c r="CZ9" i="1"/>
  <c r="CT9" i="1"/>
  <c r="CN9" i="1"/>
  <c r="CK9" i="1"/>
  <c r="CH9" i="1"/>
  <c r="CE9" i="1"/>
  <c r="CB101" i="1"/>
  <c r="CB93" i="1"/>
  <c r="CB88" i="1"/>
  <c r="CB79" i="1"/>
  <c r="CB73" i="1"/>
  <c r="CB66" i="1"/>
  <c r="CB64" i="1"/>
  <c r="CB61" i="1"/>
  <c r="CB48" i="1"/>
  <c r="CB45" i="1"/>
  <c r="CB42" i="1"/>
  <c r="CB40" i="1"/>
  <c r="CB29" i="1"/>
  <c r="CB23" i="1"/>
  <c r="CB9" i="1"/>
  <c r="BY160" i="1"/>
  <c r="BY101" i="1"/>
  <c r="BY93" i="1"/>
  <c r="BY88" i="1"/>
  <c r="BY79" i="1"/>
  <c r="BY73" i="1"/>
  <c r="BY66" i="1"/>
  <c r="BY64" i="1"/>
  <c r="BY61" i="1"/>
  <c r="BY48" i="1"/>
  <c r="BY45" i="1"/>
  <c r="BY42" i="1"/>
  <c r="BY40" i="1"/>
  <c r="BY29" i="1"/>
  <c r="BY23" i="1"/>
  <c r="BY9" i="1"/>
  <c r="CB160" i="1"/>
  <c r="AH24" i="1"/>
  <c r="BT161" i="1"/>
  <c r="BV167" i="1"/>
  <c r="BV166" i="1"/>
  <c r="BV165" i="1"/>
  <c r="BV164" i="1"/>
  <c r="BV163" i="1"/>
  <c r="BV162" i="1"/>
  <c r="BV161" i="1"/>
  <c r="BV159" i="1"/>
  <c r="BV158" i="1"/>
  <c r="BV157" i="1"/>
  <c r="BV156" i="1"/>
  <c r="BV155" i="1"/>
  <c r="BV154" i="1"/>
  <c r="BV153" i="1"/>
  <c r="BV152" i="1"/>
  <c r="BV151" i="1"/>
  <c r="BV150" i="1"/>
  <c r="BV149" i="1"/>
  <c r="BV148" i="1"/>
  <c r="BV147" i="1"/>
  <c r="BV146" i="1"/>
  <c r="BV145" i="1"/>
  <c r="BV144" i="1"/>
  <c r="BV143" i="1"/>
  <c r="BV142" i="1"/>
  <c r="BV141" i="1"/>
  <c r="BV140" i="1"/>
  <c r="BV139" i="1"/>
  <c r="BV138" i="1"/>
  <c r="BV137" i="1"/>
  <c r="BV136" i="1"/>
  <c r="BV135" i="1"/>
  <c r="BV134" i="1"/>
  <c r="BV133" i="1"/>
  <c r="BV132" i="1"/>
  <c r="BV131" i="1"/>
  <c r="BV130" i="1"/>
  <c r="BV129" i="1"/>
  <c r="BV128" i="1"/>
  <c r="BV127" i="1"/>
  <c r="BV126" i="1"/>
  <c r="BV125" i="1"/>
  <c r="BV124" i="1"/>
  <c r="BV123" i="1"/>
  <c r="BV122" i="1"/>
  <c r="BV121" i="1"/>
  <c r="BV120" i="1"/>
  <c r="BV119" i="1"/>
  <c r="BV118" i="1"/>
  <c r="BV117" i="1"/>
  <c r="BV116" i="1"/>
  <c r="BV115" i="1"/>
  <c r="BV114" i="1"/>
  <c r="BV113" i="1"/>
  <c r="BV112" i="1"/>
  <c r="BV111" i="1"/>
  <c r="BV110" i="1"/>
  <c r="BV109" i="1"/>
  <c r="BV108" i="1"/>
  <c r="BV107" i="1"/>
  <c r="BV106" i="1"/>
  <c r="BV105" i="1"/>
  <c r="BV104" i="1"/>
  <c r="BV103" i="1"/>
  <c r="BV102" i="1"/>
  <c r="BV99" i="1"/>
  <c r="BV98" i="1"/>
  <c r="BV97" i="1"/>
  <c r="BV96" i="1"/>
  <c r="BV95" i="1"/>
  <c r="BV94" i="1"/>
  <c r="BV92" i="1"/>
  <c r="BV91" i="1"/>
  <c r="BV90" i="1"/>
  <c r="BV89" i="1"/>
  <c r="BV87" i="1"/>
  <c r="BV86" i="1"/>
  <c r="BV85" i="1"/>
  <c r="BV84" i="1"/>
  <c r="BV83" i="1"/>
  <c r="BV82" i="1"/>
  <c r="BV81" i="1"/>
  <c r="BV80" i="1"/>
  <c r="BV78" i="1"/>
  <c r="BV77" i="1"/>
  <c r="BV76" i="1"/>
  <c r="BV75" i="1"/>
  <c r="BV74" i="1"/>
  <c r="BV72" i="1"/>
  <c r="BV71" i="1"/>
  <c r="BV70" i="1"/>
  <c r="BV69" i="1"/>
  <c r="BV68" i="1"/>
  <c r="BV67" i="1"/>
  <c r="BV65" i="1"/>
  <c r="BV64" i="1" s="1"/>
  <c r="BV63" i="1"/>
  <c r="BV62" i="1"/>
  <c r="BV59" i="1"/>
  <c r="BV58" i="1"/>
  <c r="BV57" i="1"/>
  <c r="BV56" i="1"/>
  <c r="BV55" i="1"/>
  <c r="BV54" i="1"/>
  <c r="BV53" i="1"/>
  <c r="BV52" i="1"/>
  <c r="BV51" i="1"/>
  <c r="BV50" i="1"/>
  <c r="BV49" i="1"/>
  <c r="BV47" i="1"/>
  <c r="BV46" i="1"/>
  <c r="BV44" i="1"/>
  <c r="BV43" i="1"/>
  <c r="BV41" i="1"/>
  <c r="BV40" i="1" s="1"/>
  <c r="BV31" i="1"/>
  <c r="BV32" i="1"/>
  <c r="BV33" i="1"/>
  <c r="BV34" i="1"/>
  <c r="BV35" i="1"/>
  <c r="BV36" i="1"/>
  <c r="BV37" i="1"/>
  <c r="BV38" i="1"/>
  <c r="BU38" i="1" s="1"/>
  <c r="BV39" i="1"/>
  <c r="BV30" i="1"/>
  <c r="BU30" i="1" s="1"/>
  <c r="BV25" i="1"/>
  <c r="BU25" i="1" s="1"/>
  <c r="BV26" i="1"/>
  <c r="BV27" i="1"/>
  <c r="BV28" i="1"/>
  <c r="BV24" i="1"/>
  <c r="BV17" i="1"/>
  <c r="BV18" i="1"/>
  <c r="BV19" i="1"/>
  <c r="BV20" i="1"/>
  <c r="BV21" i="1"/>
  <c r="BV22" i="1"/>
  <c r="BV16" i="1"/>
  <c r="BV15" i="1"/>
  <c r="BV14" i="1"/>
  <c r="BV10" i="1"/>
  <c r="BV11" i="1"/>
  <c r="BV12" i="1"/>
  <c r="BV13" i="1"/>
  <c r="BT62" i="1"/>
  <c r="BT59" i="1"/>
  <c r="BT55" i="1"/>
  <c r="BT53" i="1"/>
  <c r="BT52" i="1"/>
  <c r="BT51" i="1"/>
  <c r="BT50" i="1"/>
  <c r="BU50" i="1" s="1"/>
  <c r="BT49" i="1"/>
  <c r="BT47" i="1"/>
  <c r="BT46" i="1"/>
  <c r="BT44" i="1"/>
  <c r="BT43" i="1"/>
  <c r="BT41" i="1"/>
  <c r="BT40" i="1" s="1"/>
  <c r="BT39" i="1"/>
  <c r="BT38" i="1"/>
  <c r="BT37" i="1"/>
  <c r="BT36" i="1"/>
  <c r="BT35" i="1"/>
  <c r="BT34" i="1"/>
  <c r="BT33" i="1"/>
  <c r="BT32" i="1"/>
  <c r="BT30" i="1"/>
  <c r="BT28" i="1"/>
  <c r="BT27" i="1"/>
  <c r="BT26" i="1"/>
  <c r="BT25" i="1"/>
  <c r="BT24" i="1"/>
  <c r="BT22" i="1"/>
  <c r="BT21" i="1"/>
  <c r="BT19" i="1"/>
  <c r="BT18" i="1"/>
  <c r="BT17" i="1"/>
  <c r="BT15" i="1"/>
  <c r="BT14" i="1"/>
  <c r="BT13" i="1"/>
  <c r="BT12" i="1"/>
  <c r="BT11" i="1"/>
  <c r="BT20" i="1"/>
  <c r="BT10" i="1"/>
  <c r="AF12" i="1"/>
  <c r="AF11" i="1"/>
  <c r="AH167" i="1"/>
  <c r="AH166" i="1"/>
  <c r="AH165" i="1"/>
  <c r="AH164" i="1"/>
  <c r="AH163" i="1"/>
  <c r="AH162" i="1"/>
  <c r="AH161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99" i="1"/>
  <c r="AH98" i="1"/>
  <c r="AH97" i="1"/>
  <c r="AH96" i="1"/>
  <c r="AH95" i="1"/>
  <c r="AH94" i="1"/>
  <c r="AH92" i="1"/>
  <c r="AH91" i="1"/>
  <c r="AH90" i="1"/>
  <c r="AH89" i="1"/>
  <c r="AH87" i="1"/>
  <c r="AH86" i="1"/>
  <c r="AH85" i="1"/>
  <c r="AH84" i="1"/>
  <c r="AH83" i="1"/>
  <c r="AH82" i="1"/>
  <c r="AH81" i="1"/>
  <c r="AH80" i="1"/>
  <c r="AH78" i="1"/>
  <c r="AH77" i="1"/>
  <c r="AH76" i="1"/>
  <c r="AH75" i="1"/>
  <c r="AH74" i="1"/>
  <c r="AH72" i="1"/>
  <c r="AH71" i="1"/>
  <c r="AH70" i="1"/>
  <c r="AH69" i="1"/>
  <c r="AH68" i="1"/>
  <c r="AH67" i="1"/>
  <c r="AH65" i="1"/>
  <c r="AH64" i="1" s="1"/>
  <c r="AH63" i="1"/>
  <c r="AH62" i="1"/>
  <c r="AH58" i="1"/>
  <c r="AH57" i="1"/>
  <c r="AH56" i="1"/>
  <c r="AH55" i="1"/>
  <c r="AH54" i="1"/>
  <c r="AH53" i="1"/>
  <c r="AH52" i="1"/>
  <c r="AH51" i="1"/>
  <c r="AH50" i="1"/>
  <c r="AH49" i="1"/>
  <c r="AH47" i="1"/>
  <c r="AH46" i="1"/>
  <c r="AH43" i="1"/>
  <c r="AH44" i="1"/>
  <c r="AH25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BT167" i="1"/>
  <c r="BT166" i="1"/>
  <c r="BT165" i="1"/>
  <c r="BT164" i="1"/>
  <c r="BT163" i="1"/>
  <c r="BT162" i="1"/>
  <c r="BT159" i="1"/>
  <c r="BT158" i="1"/>
  <c r="BT157" i="1"/>
  <c r="BT156" i="1"/>
  <c r="BT155" i="1"/>
  <c r="BU155" i="1" s="1"/>
  <c r="BT154" i="1"/>
  <c r="BT153" i="1"/>
  <c r="BU153" i="1" s="1"/>
  <c r="BT152" i="1"/>
  <c r="BT151" i="1"/>
  <c r="BT150" i="1"/>
  <c r="BT149" i="1"/>
  <c r="BT148" i="1"/>
  <c r="BT147" i="1"/>
  <c r="BU147" i="1" s="1"/>
  <c r="BT146" i="1"/>
  <c r="BT145" i="1"/>
  <c r="BU145" i="1" s="1"/>
  <c r="BT144" i="1"/>
  <c r="BT143" i="1"/>
  <c r="BT142" i="1"/>
  <c r="BT141" i="1"/>
  <c r="BT140" i="1"/>
  <c r="BT139" i="1"/>
  <c r="BU139" i="1" s="1"/>
  <c r="BT138" i="1"/>
  <c r="BT137" i="1"/>
  <c r="BU137" i="1" s="1"/>
  <c r="BT136" i="1"/>
  <c r="BT135" i="1"/>
  <c r="BT134" i="1"/>
  <c r="BT133" i="1"/>
  <c r="BT132" i="1"/>
  <c r="BT131" i="1"/>
  <c r="BU131" i="1" s="1"/>
  <c r="BT130" i="1"/>
  <c r="BT129" i="1"/>
  <c r="BU129" i="1" s="1"/>
  <c r="BT128" i="1"/>
  <c r="BT127" i="1"/>
  <c r="BU127" i="1" s="1"/>
  <c r="BT126" i="1"/>
  <c r="BT125" i="1"/>
  <c r="BU125" i="1" s="1"/>
  <c r="BT124" i="1"/>
  <c r="BT123" i="1"/>
  <c r="BU123" i="1" s="1"/>
  <c r="BT122" i="1"/>
  <c r="BT121" i="1"/>
  <c r="BU121" i="1" s="1"/>
  <c r="BT120" i="1"/>
  <c r="BU120" i="1" s="1"/>
  <c r="BT119" i="1"/>
  <c r="BU119" i="1" s="1"/>
  <c r="BT118" i="1"/>
  <c r="BT117" i="1"/>
  <c r="BU117" i="1" s="1"/>
  <c r="BT116" i="1"/>
  <c r="BT115" i="1"/>
  <c r="BT114" i="1"/>
  <c r="BT113" i="1"/>
  <c r="BT112" i="1"/>
  <c r="BT111" i="1"/>
  <c r="BT110" i="1"/>
  <c r="BT109" i="1"/>
  <c r="BT108" i="1"/>
  <c r="BT107" i="1"/>
  <c r="BT106" i="1"/>
  <c r="BT105" i="1"/>
  <c r="BT104" i="1"/>
  <c r="BT103" i="1"/>
  <c r="BU103" i="1" s="1"/>
  <c r="BT102" i="1"/>
  <c r="BT99" i="1"/>
  <c r="BT98" i="1"/>
  <c r="BU98" i="1" s="1"/>
  <c r="BT97" i="1"/>
  <c r="BT96" i="1"/>
  <c r="BU96" i="1" s="1"/>
  <c r="BT95" i="1"/>
  <c r="BT94" i="1"/>
  <c r="BU94" i="1" s="1"/>
  <c r="BT92" i="1"/>
  <c r="BT91" i="1"/>
  <c r="BU91" i="1" s="1"/>
  <c r="BT90" i="1"/>
  <c r="BT89" i="1"/>
  <c r="BT87" i="1"/>
  <c r="BT86" i="1"/>
  <c r="BT85" i="1"/>
  <c r="BU85" i="1" s="1"/>
  <c r="BT84" i="1"/>
  <c r="BT83" i="1"/>
  <c r="BU83" i="1" s="1"/>
  <c r="BT82" i="1"/>
  <c r="BT81" i="1"/>
  <c r="BT80" i="1"/>
  <c r="BT78" i="1"/>
  <c r="BT77" i="1"/>
  <c r="BT76" i="1"/>
  <c r="BT75" i="1"/>
  <c r="BT74" i="1"/>
  <c r="BT72" i="1"/>
  <c r="BT71" i="1"/>
  <c r="BT70" i="1"/>
  <c r="BT69" i="1"/>
  <c r="BT68" i="1"/>
  <c r="BT67" i="1"/>
  <c r="BT65" i="1"/>
  <c r="BT64" i="1" s="1"/>
  <c r="BT63" i="1"/>
  <c r="BU63" i="1" s="1"/>
  <c r="BT58" i="1"/>
  <c r="BU58" i="1" s="1"/>
  <c r="BT57" i="1"/>
  <c r="BT56" i="1"/>
  <c r="BU56" i="1" s="1"/>
  <c r="BT54" i="1"/>
  <c r="BU54" i="1" s="1"/>
  <c r="BT31" i="1"/>
  <c r="BR40" i="1"/>
  <c r="BO40" i="1"/>
  <c r="BL40" i="1"/>
  <c r="BF40" i="1"/>
  <c r="BC40" i="1"/>
  <c r="AZ40" i="1"/>
  <c r="AW40" i="1"/>
  <c r="AT40" i="1"/>
  <c r="AQ40" i="1"/>
  <c r="AN40" i="1"/>
  <c r="BR29" i="1"/>
  <c r="BO29" i="1"/>
  <c r="BL29" i="1"/>
  <c r="BF29" i="1"/>
  <c r="BC29" i="1"/>
  <c r="AZ29" i="1"/>
  <c r="AW29" i="1"/>
  <c r="AT29" i="1"/>
  <c r="AQ29" i="1"/>
  <c r="BR23" i="1"/>
  <c r="BO23" i="1"/>
  <c r="BL23" i="1"/>
  <c r="BF23" i="1"/>
  <c r="BC23" i="1"/>
  <c r="AZ23" i="1"/>
  <c r="AW23" i="1"/>
  <c r="AT23" i="1"/>
  <c r="AQ23" i="1"/>
  <c r="BR9" i="1"/>
  <c r="BO9" i="1"/>
  <c r="BL9" i="1"/>
  <c r="BF9" i="1"/>
  <c r="BC9" i="1"/>
  <c r="AZ9" i="1"/>
  <c r="AW9" i="1"/>
  <c r="AT9" i="1"/>
  <c r="AQ9" i="1"/>
  <c r="BR160" i="1"/>
  <c r="BO160" i="1"/>
  <c r="BL160" i="1"/>
  <c r="BF160" i="1"/>
  <c r="BC160" i="1"/>
  <c r="AZ160" i="1"/>
  <c r="AW160" i="1"/>
  <c r="AT160" i="1"/>
  <c r="AQ160" i="1"/>
  <c r="AN160" i="1"/>
  <c r="AK160" i="1"/>
  <c r="BR101" i="1"/>
  <c r="BO101" i="1"/>
  <c r="BL101" i="1"/>
  <c r="BF101" i="1"/>
  <c r="BC101" i="1"/>
  <c r="AZ101" i="1"/>
  <c r="AW101" i="1"/>
  <c r="AT101" i="1"/>
  <c r="AQ101" i="1"/>
  <c r="AN101" i="1"/>
  <c r="AK101" i="1"/>
  <c r="BR93" i="1"/>
  <c r="BO93" i="1"/>
  <c r="BL93" i="1"/>
  <c r="BF93" i="1"/>
  <c r="BC93" i="1"/>
  <c r="AZ93" i="1"/>
  <c r="AW93" i="1"/>
  <c r="AT93" i="1"/>
  <c r="AQ93" i="1"/>
  <c r="AN93" i="1"/>
  <c r="AK93" i="1"/>
  <c r="BR88" i="1"/>
  <c r="BO88" i="1"/>
  <c r="BL88" i="1"/>
  <c r="BF88" i="1"/>
  <c r="BC88" i="1"/>
  <c r="AZ88" i="1"/>
  <c r="AW88" i="1"/>
  <c r="AT88" i="1"/>
  <c r="AQ88" i="1"/>
  <c r="AN88" i="1"/>
  <c r="AK88" i="1"/>
  <c r="BR79" i="1"/>
  <c r="BO79" i="1"/>
  <c r="BL79" i="1"/>
  <c r="BF79" i="1"/>
  <c r="BC79" i="1"/>
  <c r="AZ79" i="1"/>
  <c r="AW79" i="1"/>
  <c r="AT79" i="1"/>
  <c r="AQ79" i="1"/>
  <c r="AN79" i="1"/>
  <c r="AK79" i="1"/>
  <c r="BR73" i="1"/>
  <c r="BO73" i="1"/>
  <c r="BL73" i="1"/>
  <c r="BF73" i="1"/>
  <c r="BC73" i="1"/>
  <c r="AZ73" i="1"/>
  <c r="AW73" i="1"/>
  <c r="AT73" i="1"/>
  <c r="AQ73" i="1"/>
  <c r="AN73" i="1"/>
  <c r="AK73" i="1"/>
  <c r="BR66" i="1"/>
  <c r="BO66" i="1"/>
  <c r="BL66" i="1"/>
  <c r="BF66" i="1"/>
  <c r="BC66" i="1"/>
  <c r="AZ66" i="1"/>
  <c r="AW66" i="1"/>
  <c r="AT66" i="1"/>
  <c r="AQ66" i="1"/>
  <c r="AN66" i="1"/>
  <c r="AK66" i="1"/>
  <c r="BR64" i="1"/>
  <c r="BO64" i="1"/>
  <c r="BL64" i="1"/>
  <c r="BF64" i="1"/>
  <c r="BC64" i="1"/>
  <c r="AZ64" i="1"/>
  <c r="AW64" i="1"/>
  <c r="AT64" i="1"/>
  <c r="AQ64" i="1"/>
  <c r="AN64" i="1"/>
  <c r="AK64" i="1"/>
  <c r="BR61" i="1"/>
  <c r="BO61" i="1"/>
  <c r="BL61" i="1"/>
  <c r="BF61" i="1"/>
  <c r="BC61" i="1"/>
  <c r="AZ61" i="1"/>
  <c r="AW61" i="1"/>
  <c r="AT61" i="1"/>
  <c r="AQ61" i="1"/>
  <c r="AN61" i="1"/>
  <c r="AK61" i="1"/>
  <c r="BR45" i="1"/>
  <c r="BO45" i="1"/>
  <c r="BL45" i="1"/>
  <c r="BF45" i="1"/>
  <c r="BC45" i="1"/>
  <c r="AZ45" i="1"/>
  <c r="AW45" i="1"/>
  <c r="AT45" i="1"/>
  <c r="AQ45" i="1"/>
  <c r="AN45" i="1"/>
  <c r="BR42" i="1"/>
  <c r="BO42" i="1"/>
  <c r="BL42" i="1"/>
  <c r="BF42" i="1"/>
  <c r="BC42" i="1"/>
  <c r="AZ42" i="1"/>
  <c r="AW42" i="1"/>
  <c r="AT42" i="1"/>
  <c r="AQ42" i="1"/>
  <c r="AN42" i="1"/>
  <c r="BR48" i="1"/>
  <c r="BL48" i="1"/>
  <c r="BF48" i="1"/>
  <c r="BC48" i="1"/>
  <c r="AZ48" i="1"/>
  <c r="AW48" i="1"/>
  <c r="AT48" i="1"/>
  <c r="AQ48" i="1"/>
  <c r="AN48" i="1"/>
  <c r="AK48" i="1"/>
  <c r="AK45" i="1"/>
  <c r="AK40" i="1"/>
  <c r="AK42" i="1"/>
  <c r="AK29" i="1"/>
  <c r="AK23" i="1"/>
  <c r="AK9" i="1"/>
  <c r="AF36" i="1"/>
  <c r="AG36" i="1" s="1"/>
  <c r="BU167" i="1"/>
  <c r="BU166" i="1"/>
  <c r="BU165" i="1"/>
  <c r="BU164" i="1"/>
  <c r="BU163" i="1"/>
  <c r="BU162" i="1"/>
  <c r="BU159" i="1"/>
  <c r="BU158" i="1"/>
  <c r="BU157" i="1"/>
  <c r="BU154" i="1"/>
  <c r="BU151" i="1"/>
  <c r="BU150" i="1"/>
  <c r="BU149" i="1"/>
  <c r="BU146" i="1"/>
  <c r="BU143" i="1"/>
  <c r="BU142" i="1"/>
  <c r="BU141" i="1"/>
  <c r="BU138" i="1"/>
  <c r="BU135" i="1"/>
  <c r="BU134" i="1"/>
  <c r="BU133" i="1"/>
  <c r="BU130" i="1"/>
  <c r="BU126" i="1"/>
  <c r="BU122" i="1"/>
  <c r="BU118" i="1"/>
  <c r="BU115" i="1"/>
  <c r="BU114" i="1"/>
  <c r="BU113" i="1"/>
  <c r="BU112" i="1"/>
  <c r="BU111" i="1"/>
  <c r="BU110" i="1"/>
  <c r="BU109" i="1"/>
  <c r="BU108" i="1"/>
  <c r="BU107" i="1"/>
  <c r="BU106" i="1"/>
  <c r="BU105" i="1"/>
  <c r="BU102" i="1"/>
  <c r="BU97" i="1"/>
  <c r="BU89" i="1"/>
  <c r="BU84" i="1"/>
  <c r="BU52" i="1"/>
  <c r="BU43" i="1"/>
  <c r="BU34" i="1"/>
  <c r="AF167" i="1"/>
  <c r="AG167" i="1" s="1"/>
  <c r="AF166" i="1"/>
  <c r="AG166" i="1" s="1"/>
  <c r="AF165" i="1"/>
  <c r="AG165" i="1" s="1"/>
  <c r="AF164" i="1"/>
  <c r="AG164" i="1" s="1"/>
  <c r="AF163" i="1"/>
  <c r="AG163" i="1" s="1"/>
  <c r="AF162" i="1"/>
  <c r="AG162" i="1" s="1"/>
  <c r="AF161" i="1"/>
  <c r="AF159" i="1"/>
  <c r="AF158" i="1"/>
  <c r="AG158" i="1" s="1"/>
  <c r="AF157" i="1"/>
  <c r="AF156" i="1"/>
  <c r="AG156" i="1" s="1"/>
  <c r="AF155" i="1"/>
  <c r="AF154" i="1"/>
  <c r="AG154" i="1" s="1"/>
  <c r="AF153" i="1"/>
  <c r="AF152" i="1"/>
  <c r="AG152" i="1" s="1"/>
  <c r="AF151" i="1"/>
  <c r="AF150" i="1"/>
  <c r="AG150" i="1" s="1"/>
  <c r="AF149" i="1"/>
  <c r="AF148" i="1"/>
  <c r="AG148" i="1" s="1"/>
  <c r="AF147" i="1"/>
  <c r="AF146" i="1"/>
  <c r="AG146" i="1" s="1"/>
  <c r="AF145" i="1"/>
  <c r="AF144" i="1"/>
  <c r="AG144" i="1" s="1"/>
  <c r="AF143" i="1"/>
  <c r="AF142" i="1"/>
  <c r="AG142" i="1" s="1"/>
  <c r="AF141" i="1"/>
  <c r="AF140" i="1"/>
  <c r="AG140" i="1" s="1"/>
  <c r="AF139" i="1"/>
  <c r="AF138" i="1"/>
  <c r="AG138" i="1" s="1"/>
  <c r="AF137" i="1"/>
  <c r="AF136" i="1"/>
  <c r="AG136" i="1" s="1"/>
  <c r="AF135" i="1"/>
  <c r="AF134" i="1"/>
  <c r="AG134" i="1" s="1"/>
  <c r="AF133" i="1"/>
  <c r="AF132" i="1"/>
  <c r="AG132" i="1" s="1"/>
  <c r="AF131" i="1"/>
  <c r="AF130" i="1"/>
  <c r="AG130" i="1" s="1"/>
  <c r="AF129" i="1"/>
  <c r="AF128" i="1"/>
  <c r="AG128" i="1" s="1"/>
  <c r="AF127" i="1"/>
  <c r="AF126" i="1"/>
  <c r="AG126" i="1" s="1"/>
  <c r="AF125" i="1"/>
  <c r="AF124" i="1"/>
  <c r="AG124" i="1" s="1"/>
  <c r="AF123" i="1"/>
  <c r="AF122" i="1"/>
  <c r="AF121" i="1"/>
  <c r="AF120" i="1"/>
  <c r="AF119" i="1"/>
  <c r="AF118" i="1"/>
  <c r="AG118" i="1" s="1"/>
  <c r="AF117" i="1"/>
  <c r="AF116" i="1"/>
  <c r="AF115" i="1"/>
  <c r="AF114" i="1"/>
  <c r="AF113" i="1"/>
  <c r="AF112" i="1"/>
  <c r="AG112" i="1" s="1"/>
  <c r="AF111" i="1"/>
  <c r="AF110" i="1"/>
  <c r="AG110" i="1" s="1"/>
  <c r="AF109" i="1"/>
  <c r="AF108" i="1"/>
  <c r="AG108" i="1" s="1"/>
  <c r="AF107" i="1"/>
  <c r="AF106" i="1"/>
  <c r="AF105" i="1"/>
  <c r="AF104" i="1"/>
  <c r="AF103" i="1"/>
  <c r="AF102" i="1"/>
  <c r="AF99" i="1"/>
  <c r="AF98" i="1"/>
  <c r="AF97" i="1"/>
  <c r="AF96" i="1"/>
  <c r="AF95" i="1"/>
  <c r="AF94" i="1"/>
  <c r="AF92" i="1"/>
  <c r="AF91" i="1"/>
  <c r="AF90" i="1"/>
  <c r="AF89" i="1"/>
  <c r="AF87" i="1"/>
  <c r="AF86" i="1"/>
  <c r="AG86" i="1" s="1"/>
  <c r="AF85" i="1"/>
  <c r="AF84" i="1"/>
  <c r="AG84" i="1" s="1"/>
  <c r="AF83" i="1"/>
  <c r="AF82" i="1"/>
  <c r="AF81" i="1"/>
  <c r="AF80" i="1"/>
  <c r="AG80" i="1" s="1"/>
  <c r="AF78" i="1"/>
  <c r="AG78" i="1" s="1"/>
  <c r="AF77" i="1"/>
  <c r="AF76" i="1"/>
  <c r="AF75" i="1"/>
  <c r="AF74" i="1"/>
  <c r="AG74" i="1" s="1"/>
  <c r="AF72" i="1"/>
  <c r="AF71" i="1"/>
  <c r="AG71" i="1" s="1"/>
  <c r="AF70" i="1"/>
  <c r="AF69" i="1"/>
  <c r="AG69" i="1" s="1"/>
  <c r="AF68" i="1"/>
  <c r="AF67" i="1"/>
  <c r="AG67" i="1" s="1"/>
  <c r="AF65" i="1"/>
  <c r="AF64" i="1" s="1"/>
  <c r="AF63" i="1"/>
  <c r="AF62" i="1"/>
  <c r="AF58" i="1"/>
  <c r="AG58" i="1" s="1"/>
  <c r="AF57" i="1"/>
  <c r="AF56" i="1"/>
  <c r="AG56" i="1" s="1"/>
  <c r="AF55" i="1"/>
  <c r="AF54" i="1"/>
  <c r="AG54" i="1" s="1"/>
  <c r="AF53" i="1"/>
  <c r="AF52" i="1"/>
  <c r="AG52" i="1" s="1"/>
  <c r="AF51" i="1"/>
  <c r="AF50" i="1"/>
  <c r="AG50" i="1" s="1"/>
  <c r="AF49" i="1"/>
  <c r="AF47" i="1"/>
  <c r="AF46" i="1"/>
  <c r="AG46" i="1" s="1"/>
  <c r="AF44" i="1"/>
  <c r="AG44" i="1" s="1"/>
  <c r="AF43" i="1"/>
  <c r="AF41" i="1"/>
  <c r="AF40" i="1" s="1"/>
  <c r="AF39" i="1"/>
  <c r="AG39" i="1" s="1"/>
  <c r="AF38" i="1"/>
  <c r="AG38" i="1" s="1"/>
  <c r="AF37" i="1"/>
  <c r="AG37" i="1" s="1"/>
  <c r="AF35" i="1"/>
  <c r="AG35" i="1" s="1"/>
  <c r="AF34" i="1"/>
  <c r="AG34" i="1" s="1"/>
  <c r="AF33" i="1"/>
  <c r="AG33" i="1" s="1"/>
  <c r="AF32" i="1"/>
  <c r="AG32" i="1" s="1"/>
  <c r="AF31" i="1"/>
  <c r="AG31" i="1" s="1"/>
  <c r="AF30" i="1"/>
  <c r="AG30" i="1" s="1"/>
  <c r="AF28" i="1"/>
  <c r="AG28" i="1" s="1"/>
  <c r="AF27" i="1"/>
  <c r="AG27" i="1" s="1"/>
  <c r="AF26" i="1"/>
  <c r="AG26" i="1" s="1"/>
  <c r="AF25" i="1"/>
  <c r="AG25" i="1" s="1"/>
  <c r="AF24" i="1"/>
  <c r="AF13" i="1"/>
  <c r="AF14" i="1"/>
  <c r="AF15" i="1"/>
  <c r="AG15" i="1" s="1"/>
  <c r="AF16" i="1"/>
  <c r="AF17" i="1"/>
  <c r="AG17" i="1" s="1"/>
  <c r="AF18" i="1"/>
  <c r="AF19" i="1"/>
  <c r="AF20" i="1"/>
  <c r="AF21" i="1"/>
  <c r="AG21" i="1" s="1"/>
  <c r="AF22" i="1"/>
  <c r="AG10" i="1"/>
  <c r="BU80" i="1" l="1"/>
  <c r="BU82" i="1"/>
  <c r="BU86" i="1"/>
  <c r="BU75" i="1"/>
  <c r="BU36" i="1"/>
  <c r="BU47" i="1"/>
  <c r="BU77" i="1"/>
  <c r="BU57" i="1"/>
  <c r="BU53" i="1"/>
  <c r="BU35" i="1"/>
  <c r="BU37" i="1"/>
  <c r="BU27" i="1"/>
  <c r="AG95" i="1"/>
  <c r="AG90" i="1"/>
  <c r="AG92" i="1"/>
  <c r="AG81" i="1"/>
  <c r="AG85" i="1"/>
  <c r="AG87" i="1"/>
  <c r="AG22" i="1"/>
  <c r="AF48" i="1"/>
  <c r="BT48" i="1"/>
  <c r="O45" i="1"/>
  <c r="BU62" i="1"/>
  <c r="O101" i="1"/>
  <c r="BU70" i="1"/>
  <c r="BU99" i="1"/>
  <c r="BU90" i="1"/>
  <c r="BU67" i="1"/>
  <c r="BU69" i="1"/>
  <c r="BU71" i="1"/>
  <c r="BU46" i="1"/>
  <c r="CZ8" i="1"/>
  <c r="AG105" i="1"/>
  <c r="AG107" i="1"/>
  <c r="AG109" i="1"/>
  <c r="AG111" i="1"/>
  <c r="AG113" i="1"/>
  <c r="AG115" i="1"/>
  <c r="AG117" i="1"/>
  <c r="AG119" i="1"/>
  <c r="AG121" i="1"/>
  <c r="AG123" i="1"/>
  <c r="AG125" i="1"/>
  <c r="AG127" i="1"/>
  <c r="AG129" i="1"/>
  <c r="AG131" i="1"/>
  <c r="AG133" i="1"/>
  <c r="AG135" i="1"/>
  <c r="AG137" i="1"/>
  <c r="AG139" i="1"/>
  <c r="AG141" i="1"/>
  <c r="AG143" i="1"/>
  <c r="AG145" i="1"/>
  <c r="AG147" i="1"/>
  <c r="AG149" i="1"/>
  <c r="AG151" i="1"/>
  <c r="AG153" i="1"/>
  <c r="AG155" i="1"/>
  <c r="AG157" i="1"/>
  <c r="AG159" i="1"/>
  <c r="AG94" i="1"/>
  <c r="AG98" i="1"/>
  <c r="AG75" i="1"/>
  <c r="BU65" i="1"/>
  <c r="AH101" i="1"/>
  <c r="BU32" i="1"/>
  <c r="BU161" i="1"/>
  <c r="AB8" i="1"/>
  <c r="O160" i="1"/>
  <c r="AF9" i="1"/>
  <c r="BU41" i="1"/>
  <c r="BU21" i="1"/>
  <c r="BV23" i="1"/>
  <c r="BV42" i="1"/>
  <c r="BV45" i="1"/>
  <c r="BV66" i="1"/>
  <c r="BV73" i="1"/>
  <c r="AF23" i="1"/>
  <c r="AF61" i="1"/>
  <c r="AF88" i="1"/>
  <c r="AF101" i="1"/>
  <c r="AF160" i="1"/>
  <c r="BT66" i="1"/>
  <c r="BT73" i="1"/>
  <c r="AH66" i="1"/>
  <c r="AH73" i="1"/>
  <c r="BT29" i="1"/>
  <c r="BT42" i="1"/>
  <c r="BU42" i="1" s="1"/>
  <c r="BT45" i="1"/>
  <c r="BU11" i="1"/>
  <c r="BV29" i="1"/>
  <c r="BV61" i="1"/>
  <c r="BV88" i="1"/>
  <c r="BV93" i="1"/>
  <c r="BV101" i="1"/>
  <c r="BV160" i="1"/>
  <c r="CB8" i="1"/>
  <c r="CQ8" i="1"/>
  <c r="AF29" i="1"/>
  <c r="AG29" i="1" s="1"/>
  <c r="AF42" i="1"/>
  <c r="BT88" i="1"/>
  <c r="BT93" i="1"/>
  <c r="BT101" i="1"/>
  <c r="AG40" i="1"/>
  <c r="AH61" i="1"/>
  <c r="AG64" i="1"/>
  <c r="AH79" i="1"/>
  <c r="AH88" i="1"/>
  <c r="AH93" i="1"/>
  <c r="AH160" i="1"/>
  <c r="BT9" i="1"/>
  <c r="BT23" i="1"/>
  <c r="BT61" i="1"/>
  <c r="BU10" i="1"/>
  <c r="BT160" i="1"/>
  <c r="BU40" i="1"/>
  <c r="BU64" i="1"/>
  <c r="AG43" i="1"/>
  <c r="AG65" i="1"/>
  <c r="AG89" i="1"/>
  <c r="AG77" i="1"/>
  <c r="AG24" i="1"/>
  <c r="AF93" i="1"/>
  <c r="AF79" i="1"/>
  <c r="AF73" i="1"/>
  <c r="BV9" i="1"/>
  <c r="BT79" i="1"/>
  <c r="AG49" i="1"/>
  <c r="AG51" i="1"/>
  <c r="BV79" i="1"/>
  <c r="BU79" i="1" s="1"/>
  <c r="AF66" i="1"/>
  <c r="AF45" i="1"/>
  <c r="BY8" i="1"/>
  <c r="BU14" i="1"/>
  <c r="AG161" i="1"/>
  <c r="AG103" i="1"/>
  <c r="AG99" i="1"/>
  <c r="BU95" i="1"/>
  <c r="AG83" i="1"/>
  <c r="BU76" i="1"/>
  <c r="AG62" i="1"/>
  <c r="BU49" i="1"/>
  <c r="BU124" i="1"/>
  <c r="AG122" i="1"/>
  <c r="AG120" i="1"/>
  <c r="BU116" i="1"/>
  <c r="AG116" i="1"/>
  <c r="AG114" i="1"/>
  <c r="BU104" i="1"/>
  <c r="AG102" i="1"/>
  <c r="AG104" i="1"/>
  <c r="AG106" i="1"/>
  <c r="BU128" i="1"/>
  <c r="BU132" i="1"/>
  <c r="BU136" i="1"/>
  <c r="BU140" i="1"/>
  <c r="BU144" i="1"/>
  <c r="BU148" i="1"/>
  <c r="BU152" i="1"/>
  <c r="BU156" i="1"/>
  <c r="AG97" i="1"/>
  <c r="AG96" i="1"/>
  <c r="AG91" i="1"/>
  <c r="BU92" i="1"/>
  <c r="AG82" i="1"/>
  <c r="BU81" i="1"/>
  <c r="BU87" i="1"/>
  <c r="BU78" i="1"/>
  <c r="AG76" i="1"/>
  <c r="BU74" i="1"/>
  <c r="AG72" i="1"/>
  <c r="BU72" i="1"/>
  <c r="AG70" i="1"/>
  <c r="BU68" i="1"/>
  <c r="AG68" i="1"/>
  <c r="AG63" i="1"/>
  <c r="BU59" i="1"/>
  <c r="AG57" i="1"/>
  <c r="BU55" i="1"/>
  <c r="AG55" i="1"/>
  <c r="AG53" i="1"/>
  <c r="BU51" i="1"/>
  <c r="AG47" i="1"/>
  <c r="BU44" i="1"/>
  <c r="AG41" i="1"/>
  <c r="BU31" i="1"/>
  <c r="BU39" i="1"/>
  <c r="BU33" i="1"/>
  <c r="BU28" i="1"/>
  <c r="BU26" i="1"/>
  <c r="BU24" i="1"/>
  <c r="AG20" i="1"/>
  <c r="AG19" i="1"/>
  <c r="BU19" i="1"/>
  <c r="AG18" i="1"/>
  <c r="BU17" i="1"/>
  <c r="AG16" i="1"/>
  <c r="AG14" i="1"/>
  <c r="AG12" i="1"/>
  <c r="AG11" i="1"/>
  <c r="I8" i="1"/>
  <c r="AG23" i="1" l="1"/>
  <c r="AG48" i="1"/>
  <c r="BU48" i="1"/>
  <c r="BU66" i="1"/>
  <c r="BU93" i="1"/>
  <c r="AG101" i="1"/>
  <c r="BU61" i="1"/>
  <c r="BU23" i="1"/>
  <c r="AG160" i="1"/>
  <c r="AF8" i="1"/>
  <c r="BU160" i="1"/>
  <c r="AH8" i="1"/>
  <c r="BU29" i="1"/>
  <c r="BU9" i="1"/>
  <c r="BU73" i="1"/>
  <c r="AG9" i="1"/>
  <c r="AG73" i="1"/>
  <c r="AG61" i="1"/>
  <c r="AG42" i="1"/>
  <c r="BU45" i="1"/>
  <c r="BU101" i="1"/>
  <c r="BU88" i="1"/>
  <c r="AG66" i="1"/>
  <c r="AG93" i="1"/>
  <c r="BT8" i="1"/>
  <c r="AG45" i="1"/>
  <c r="AG79" i="1"/>
  <c r="AG88" i="1"/>
  <c r="AG8" i="1" l="1"/>
  <c r="BU8" i="1"/>
  <c r="DF8" i="1"/>
  <c r="DC8" i="1"/>
  <c r="CW8" i="1"/>
  <c r="CT8" i="1"/>
  <c r="CN8" i="1"/>
  <c r="CK8" i="1"/>
  <c r="CH8" i="1"/>
  <c r="CE8" i="1"/>
  <c r="BR8" i="1"/>
  <c r="BO8" i="1"/>
  <c r="BL8" i="1"/>
  <c r="BI8" i="1"/>
  <c r="BF8" i="1"/>
  <c r="BC8" i="1"/>
  <c r="AZ8" i="1"/>
  <c r="AW8" i="1"/>
  <c r="AT8" i="1"/>
  <c r="AQ8" i="1"/>
  <c r="AN8" i="1"/>
  <c r="AK8" i="1"/>
  <c r="AG13" i="1" l="1"/>
  <c r="AE8" i="1" l="1"/>
  <c r="BU12" i="1" l="1"/>
  <c r="BU16" i="1"/>
  <c r="BU20" i="1"/>
  <c r="BU13" i="1"/>
  <c r="BU15" i="1"/>
  <c r="BU22" i="1"/>
  <c r="BU18" i="1"/>
  <c r="L40" i="1" l="1"/>
  <c r="L8" i="1" s="1"/>
  <c r="N41" i="1"/>
  <c r="O41" i="1" l="1"/>
  <c r="O40" i="1" s="1"/>
</calcChain>
</file>

<file path=xl/sharedStrings.xml><?xml version="1.0" encoding="utf-8"?>
<sst xmlns="http://schemas.openxmlformats.org/spreadsheetml/2006/main" count="730" uniqueCount="329">
  <si>
    <t>STT</t>
  </si>
  <si>
    <t>TÊN THUỐC</t>
  </si>
  <si>
    <t>ĐƯỜNG DÙNG</t>
  </si>
  <si>
    <t>HÀM LƯỢNG</t>
  </si>
  <si>
    <t>NƠI SX</t>
  </si>
  <si>
    <t>ĐVT</t>
  </si>
  <si>
    <t>TỒN ĐẦU KỲ</t>
  </si>
  <si>
    <t>PHÁT SINH TRONG THÁNG</t>
  </si>
  <si>
    <t>TỒN CUỐI KỲ</t>
  </si>
  <si>
    <t>Hạn Sử dụng</t>
  </si>
  <si>
    <t>LŨY KẾ NĂM</t>
  </si>
  <si>
    <t>SL</t>
  </si>
  <si>
    <t>ĐG</t>
  </si>
  <si>
    <t>TT</t>
  </si>
  <si>
    <t>ĐG 5%</t>
  </si>
  <si>
    <t>TT 5%</t>
  </si>
  <si>
    <t>TỔNG CỘNG</t>
  </si>
  <si>
    <t>I- NHÓM THUỐC HẠ SỐT ,GIẢM ĐAU, CHỐNG VIÊM KHÔNG STEROID</t>
  </si>
  <si>
    <t>II - NHÓM THUỐC CHỐNG DỊ ỨNG</t>
  </si>
  <si>
    <t>III- NHÓM THUỐC KHÁNG SINH</t>
  </si>
  <si>
    <t>IV- NHÓM THUỐC KHÁNG VIRUS</t>
  </si>
  <si>
    <t>V- NHÓM THUỐC CHỐNG NẤM</t>
  </si>
  <si>
    <t>VI- NHÓM THUỐC TIM MẠCH- HUYẾT ÁP</t>
  </si>
  <si>
    <t>VII- NHÓM THUỐC ĐƯỜNG TIÊU HÓA</t>
  </si>
  <si>
    <t>VIII- NHÓM THUỐC CHỐNG VIÊM CORTICOID</t>
  </si>
  <si>
    <t>IX- NHÓM THUỐC LÀM MỀM CƠ VÀ ỨC CHẾ  CHOLINESTERASE</t>
  </si>
  <si>
    <t>X- NHÓM THUỐC TÁC ĐỘNG LÊN HỆ THẦN KINH</t>
  </si>
  <si>
    <t>XI- NHÓM THUỐC TÁC DỤNG LÊN ĐƯỜNG HÔ HẤP</t>
  </si>
  <si>
    <t>XII- NHÓM THUỐC VITAMIN VÀ KHOÁNG CHẤT</t>
  </si>
  <si>
    <t>XIII- NHÓM THUỐC NHỎ MẮT,TAI MŨI HỌNG</t>
  </si>
  <si>
    <t>XIV- NHÓM DÙNG NGOÀI</t>
  </si>
  <si>
    <t>XV -  CẤP CỨU</t>
  </si>
  <si>
    <t>XVI- NHÓM VẬT TƯ Y TẾ + DM TÚI CỨU THƯƠNG</t>
  </si>
  <si>
    <t>XVII- THUỐC CHỐNG SỐC THEO TT51/BYT.ĐƠN VỊ TÍNH CHO 01 HỘP</t>
  </si>
  <si>
    <t>NM THTX THOẠI SƠN</t>
  </si>
  <si>
    <t>TỔNG NHẬP</t>
  </si>
  <si>
    <t>THÁNG 01/2025</t>
  </si>
  <si>
    <t>THÁNG 02/2025</t>
  </si>
  <si>
    <t>THÁNG 03/2025</t>
  </si>
  <si>
    <t>THÁNG 04/2025</t>
  </si>
  <si>
    <t>THÁNG 07/2025</t>
  </si>
  <si>
    <t>THÁNG 10/2025</t>
  </si>
  <si>
    <t>THÁNG 09/2025</t>
  </si>
  <si>
    <t>THÁNG 11/2025</t>
  </si>
  <si>
    <t>THÁNG 12/2025</t>
  </si>
  <si>
    <t>THÁNG 08/2025</t>
  </si>
  <si>
    <t>THÁNG 06/2025</t>
  </si>
  <si>
    <t>THÁNG 05/2025</t>
  </si>
  <si>
    <t>TỔNG XUẤT</t>
  </si>
  <si>
    <t xml:space="preserve">Hapacol </t>
  </si>
  <si>
    <t>Uống</t>
  </si>
  <si>
    <t>650mg</t>
  </si>
  <si>
    <t>Hậu Giang</t>
  </si>
  <si>
    <t>Viên</t>
  </si>
  <si>
    <t>Paracetamol</t>
  </si>
  <si>
    <t>500mg</t>
  </si>
  <si>
    <t>Mekophar</t>
  </si>
  <si>
    <t>Pharma</t>
  </si>
  <si>
    <t>Efferalgan</t>
  </si>
  <si>
    <t xml:space="preserve">Panadol </t>
  </si>
  <si>
    <t>GlaxoSmithKline</t>
  </si>
  <si>
    <t>Alphachymotrypsin</t>
  </si>
  <si>
    <t>4.2mg</t>
  </si>
  <si>
    <t>Mebiphar</t>
  </si>
  <si>
    <t>Protamol</t>
  </si>
  <si>
    <t>200/325mg</t>
  </si>
  <si>
    <t>Diclofenac</t>
  </si>
  <si>
    <t>75mg</t>
  </si>
  <si>
    <t>TW25</t>
  </si>
  <si>
    <t>Meloxicam</t>
  </si>
  <si>
    <t>7.5mg</t>
  </si>
  <si>
    <t>Khánh Hòa</t>
  </si>
  <si>
    <t>Tenoxicam</t>
  </si>
  <si>
    <t>20mg</t>
  </si>
  <si>
    <t>Celecoxib</t>
  </si>
  <si>
    <t>200mg</t>
  </si>
  <si>
    <t>Đồng Nai</t>
  </si>
  <si>
    <t>Coldacmin</t>
  </si>
  <si>
    <t>352/2mg</t>
  </si>
  <si>
    <t xml:space="preserve">Chlorphenramin </t>
  </si>
  <si>
    <t>4mg</t>
  </si>
  <si>
    <t>Toussolene</t>
  </si>
  <si>
    <t>5mg</t>
  </si>
  <si>
    <t>10mg</t>
  </si>
  <si>
    <t>Cetirizin</t>
  </si>
  <si>
    <t>Enlie</t>
  </si>
  <si>
    <t>Levoagi</t>
  </si>
  <si>
    <t>Agimexpharm</t>
  </si>
  <si>
    <t>Nidal</t>
  </si>
  <si>
    <t>50mg</t>
  </si>
  <si>
    <t>Ampharco</t>
  </si>
  <si>
    <t>Dinalvic</t>
  </si>
  <si>
    <t>325mg</t>
  </si>
  <si>
    <t>Cửu Long</t>
  </si>
  <si>
    <t xml:space="preserve">Amoxycilin </t>
  </si>
  <si>
    <t>Domesco</t>
  </si>
  <si>
    <t>Cefixim</t>
  </si>
  <si>
    <t>Cefuroxim</t>
  </si>
  <si>
    <t>Vidiphar</t>
  </si>
  <si>
    <t>Cephalexin</t>
  </si>
  <si>
    <t>Ciprofloxacin</t>
  </si>
  <si>
    <t>Macleods</t>
  </si>
  <si>
    <t>Erythromycin</t>
  </si>
  <si>
    <t>Klamentin</t>
  </si>
  <si>
    <t>875/125mg</t>
  </si>
  <si>
    <t>Zaromax</t>
  </si>
  <si>
    <t xml:space="preserve">Acyclovir </t>
  </si>
  <si>
    <t>400mg</t>
  </si>
  <si>
    <t>Stella</t>
  </si>
  <si>
    <t>Domitazol</t>
  </si>
  <si>
    <t>300mg</t>
  </si>
  <si>
    <t xml:space="preserve">Viên </t>
  </si>
  <si>
    <t>250mg</t>
  </si>
  <si>
    <t>Amlodipin</t>
  </si>
  <si>
    <t>Stada</t>
  </si>
  <si>
    <t>Captopril</t>
  </si>
  <si>
    <t xml:space="preserve">Uống </t>
  </si>
  <si>
    <t>25mg</t>
  </si>
  <si>
    <t xml:space="preserve">Decontapp.pharco </t>
  </si>
  <si>
    <t>Phong Phú</t>
  </si>
  <si>
    <t>Cinnarizin</t>
  </si>
  <si>
    <t>Magnesi  B6</t>
  </si>
  <si>
    <t>Hoạt huyết DN</t>
  </si>
  <si>
    <t>Gikanin / Tangynyl</t>
  </si>
  <si>
    <t xml:space="preserve">Piracetam </t>
  </si>
  <si>
    <t>800mg</t>
  </si>
  <si>
    <t>Khapharco</t>
  </si>
  <si>
    <t>Sanofi</t>
  </si>
  <si>
    <t>Trà Vinh</t>
  </si>
  <si>
    <t>Traphaco</t>
  </si>
  <si>
    <t xml:space="preserve">Ofmantine </t>
  </si>
  <si>
    <t>625mg</t>
  </si>
  <si>
    <t>Novatis</t>
  </si>
  <si>
    <t>Cataflam / Fenaflam</t>
  </si>
  <si>
    <t xml:space="preserve"> Carbomango</t>
  </si>
  <si>
    <t>Alverin citrat (Spacmarizine)</t>
  </si>
  <si>
    <t>Nam Việt</t>
  </si>
  <si>
    <t>40mg</t>
  </si>
  <si>
    <t>Domperidon (Mutecium - M)</t>
  </si>
  <si>
    <t xml:space="preserve">Cimetidin </t>
  </si>
  <si>
    <t>Loperamid</t>
  </si>
  <si>
    <t>2mg</t>
  </si>
  <si>
    <t xml:space="preserve">Ovac (Omeprazol) </t>
  </si>
  <si>
    <t>Biolac</t>
  </si>
  <si>
    <t xml:space="preserve">Smecta </t>
  </si>
  <si>
    <t>Sorbitol</t>
  </si>
  <si>
    <t>Phosphalugel</t>
  </si>
  <si>
    <t>Biosubtyl-II</t>
  </si>
  <si>
    <t>1g</t>
  </si>
  <si>
    <t>10g</t>
  </si>
  <si>
    <t>Ipsen</t>
  </si>
  <si>
    <t>Gói</t>
  </si>
  <si>
    <t>Pharmetis</t>
  </si>
  <si>
    <t>Nha Trang</t>
  </si>
  <si>
    <t>Bình Thuận</t>
  </si>
  <si>
    <t>5g</t>
  </si>
  <si>
    <t>20g</t>
  </si>
  <si>
    <t>Mekoramin</t>
  </si>
  <si>
    <t>Ngậm</t>
  </si>
  <si>
    <t>15g</t>
  </si>
  <si>
    <t>Prednisolon</t>
  </si>
  <si>
    <t>16mg</t>
  </si>
  <si>
    <t xml:space="preserve">Methylprednisolon </t>
  </si>
  <si>
    <t>Tyrotab</t>
  </si>
  <si>
    <t>1mg</t>
  </si>
  <si>
    <t>Pharmedic</t>
  </si>
  <si>
    <t>Eugica Fort</t>
  </si>
  <si>
    <t>8mg</t>
  </si>
  <si>
    <t>Bromhexin( Bixovom)</t>
  </si>
  <si>
    <t xml:space="preserve">Dextromethorphan </t>
  </si>
  <si>
    <t>15mg</t>
  </si>
  <si>
    <t>Terpin-Codein/ Terpinzoat</t>
  </si>
  <si>
    <t>Mega</t>
  </si>
  <si>
    <t>Hải Dương</t>
  </si>
  <si>
    <t>Dược 3/2</t>
  </si>
  <si>
    <t xml:space="preserve">Acetylcystein </t>
  </si>
  <si>
    <t xml:space="preserve"> Vitamin C 500mg</t>
  </si>
  <si>
    <t>Vitamin PP</t>
  </si>
  <si>
    <t>Vitamin B1,B6,B12</t>
  </si>
  <si>
    <t>Vitamin B1</t>
  </si>
  <si>
    <t>Calcium Hasan 500mg</t>
  </si>
  <si>
    <t>1000mg</t>
  </si>
  <si>
    <t xml:space="preserve">Vitamin C 1000mg </t>
  </si>
  <si>
    <t>Hasan</t>
  </si>
  <si>
    <t>Folic Fe</t>
  </si>
  <si>
    <t>Thành Nam</t>
  </si>
  <si>
    <t>OPC</t>
  </si>
  <si>
    <t>Green Tech</t>
  </si>
  <si>
    <t>Nhỏ mắt</t>
  </si>
  <si>
    <t>5ml</t>
  </si>
  <si>
    <t>10ml</t>
  </si>
  <si>
    <t xml:space="preserve">Natri Clorid 0,9% </t>
  </si>
  <si>
    <t>Polydesone</t>
  </si>
  <si>
    <t>Gentamycin 0,3 %</t>
  </si>
  <si>
    <t>Ciprofloxacin 0,3%</t>
  </si>
  <si>
    <t>Bình Định</t>
  </si>
  <si>
    <t>Chai</t>
  </si>
  <si>
    <t>Bôi</t>
  </si>
  <si>
    <t>Aciclovir 5%</t>
  </si>
  <si>
    <t>Griseofulvin 5%</t>
  </si>
  <si>
    <t>10gr</t>
  </si>
  <si>
    <t>3gr</t>
  </si>
  <si>
    <t>Tuýp</t>
  </si>
  <si>
    <t xml:space="preserve">Silkeron </t>
  </si>
  <si>
    <t>Philinterpharma</t>
  </si>
  <si>
    <t>Medipharco</t>
  </si>
  <si>
    <t>1.5ml</t>
  </si>
  <si>
    <t>Trường Sơn</t>
  </si>
  <si>
    <t>Cao sao vàng</t>
  </si>
  <si>
    <t>Dầu phật linh</t>
  </si>
  <si>
    <t>TW3</t>
  </si>
  <si>
    <t>Hộp</t>
  </si>
  <si>
    <t>Cao dán salonpas</t>
  </si>
  <si>
    <t>Dán</t>
  </si>
  <si>
    <t>Hisamistu</t>
  </si>
  <si>
    <t>Miếng</t>
  </si>
  <si>
    <t>Băng cuộn 0.07x2.5m</t>
  </si>
  <si>
    <t>Băng keo liên kết</t>
  </si>
  <si>
    <t>Băng keo Miloplast</t>
  </si>
  <si>
    <t>Bông y tế 25gr</t>
  </si>
  <si>
    <t>Băng Thun ( 7.5* 450cm)</t>
  </si>
  <si>
    <t>Băng KT 5x200cm</t>
  </si>
  <si>
    <t>Băng KT 10x200cm</t>
  </si>
  <si>
    <t>Băng KT 15x200cm</t>
  </si>
  <si>
    <t>Băng tam giác</t>
  </si>
  <si>
    <t>Cồn 90 DO 60MI(Alcool)</t>
  </si>
  <si>
    <t>Dầu mù u</t>
  </si>
  <si>
    <t>Đè gạc lưỡi</t>
  </si>
  <si>
    <t>Gạc tiệt trùng 5x6.5</t>
  </si>
  <si>
    <t>Găng tay khám bệnh ( Size S)</t>
  </si>
  <si>
    <t>Garo cao su 4x100cm</t>
  </si>
  <si>
    <t>Kim băng an toàn</t>
  </si>
  <si>
    <t>Khẩu trang 4 lớp (Tt)</t>
  </si>
  <si>
    <t>Povidin 20%</t>
  </si>
  <si>
    <t>Ventolin inhaler ( Xịt suyễn)</t>
  </si>
  <si>
    <t>Băng Urgosyval 2.5*5m</t>
  </si>
  <si>
    <t>Băng Urgosyval 1.25*5m</t>
  </si>
  <si>
    <t>2.5*5m</t>
  </si>
  <si>
    <t>1.25*5m</t>
  </si>
  <si>
    <t>25gr</t>
  </si>
  <si>
    <t>500ml</t>
  </si>
  <si>
    <t xml:space="preserve">Natri Clorid </t>
  </si>
  <si>
    <t xml:space="preserve">Nước Oxy Già </t>
  </si>
  <si>
    <t>136gr</t>
  </si>
  <si>
    <t>Panthenol Spray</t>
  </si>
  <si>
    <t>0.07x2.5m</t>
  </si>
  <si>
    <t>7.5x450cm</t>
  </si>
  <si>
    <t>5x200cm</t>
  </si>
  <si>
    <t>10x200cm</t>
  </si>
  <si>
    <t>15x200cm</t>
  </si>
  <si>
    <t>5x6.5cm</t>
  </si>
  <si>
    <t>4x100cm</t>
  </si>
  <si>
    <t>Máy đo HA Omron Hem 8712</t>
  </si>
  <si>
    <t>Cuộn</t>
  </si>
  <si>
    <t>Que</t>
  </si>
  <si>
    <t>Đôi</t>
  </si>
  <si>
    <t>Cái</t>
  </si>
  <si>
    <t>Lọ</t>
  </si>
  <si>
    <t xml:space="preserve">Băng keo Urgo 1.25 cm * 5m </t>
  </si>
  <si>
    <t>Băng  cuộn kích thước 5cm * 200cm</t>
  </si>
  <si>
    <t>Băng  cuộn kích thước 0,07 * 2m</t>
  </si>
  <si>
    <t>Băng  cuộn kích thước 15cm * 200cm</t>
  </si>
  <si>
    <t xml:space="preserve">Băng thun y tế-3 móc </t>
  </si>
  <si>
    <t>Bông y tế 25 gram</t>
  </si>
  <si>
    <t>Garo cao su 4 x 100 cm</t>
  </si>
  <si>
    <t>Garo cao su 6 x 100 cm</t>
  </si>
  <si>
    <t>Kéo 16cm</t>
  </si>
  <si>
    <t>Panh không mấu thẳng kích thước 16-18cm</t>
  </si>
  <si>
    <t>Panh không mấu cong kích thước 16-18cm</t>
  </si>
  <si>
    <t>Găng tay tiệt trùng</t>
  </si>
  <si>
    <t>Khẩu trang  phòng độc( mặt nạ phòng độc)</t>
  </si>
  <si>
    <t>Nước muối sinh lý 0.9 % (lọ 500ml)</t>
  </si>
  <si>
    <t>Cồn 70°(60ml)</t>
  </si>
  <si>
    <t xml:space="preserve"> Povidone 20 ml</t>
  </si>
  <si>
    <t>Tấm lót nilon không thấm nước</t>
  </si>
  <si>
    <t>Kính bảo vệ mắt</t>
  </si>
  <si>
    <t>Nẹp cổ mềm</t>
  </si>
  <si>
    <t>Huyết áp + ống nghe</t>
  </si>
  <si>
    <t>Nhiệt kế thuỷ ngân</t>
  </si>
  <si>
    <t>Nẹp cổ</t>
  </si>
  <si>
    <t>Phát đồ sơ cấp cứu</t>
  </si>
  <si>
    <t>Mền (KT 180x220)</t>
  </si>
  <si>
    <t>Giường + Nệm y tế</t>
  </si>
  <si>
    <t>Grap trải giường</t>
  </si>
  <si>
    <t>Mền</t>
  </si>
  <si>
    <t>Áo + Gối</t>
  </si>
  <si>
    <t>Vải trắng may màng</t>
  </si>
  <si>
    <t>Áo Blue trắng</t>
  </si>
  <si>
    <t>Cây</t>
  </si>
  <si>
    <t>Tấm</t>
  </si>
  <si>
    <t>Bộ</t>
  </si>
  <si>
    <t>Mét</t>
  </si>
  <si>
    <t>Urgo</t>
  </si>
  <si>
    <t>Bảo Thạch</t>
  </si>
  <si>
    <t>Quang Mậu</t>
  </si>
  <si>
    <t>Tương Lai</t>
  </si>
  <si>
    <t>Pakistan</t>
  </si>
  <si>
    <t>Phan Anh</t>
  </si>
  <si>
    <t>Vĩnh Phúc</t>
  </si>
  <si>
    <t>Khải Hoàn</t>
  </si>
  <si>
    <t>Adrenalin 1mg/1ml</t>
  </si>
  <si>
    <t>Methylprednilon 4mg</t>
  </si>
  <si>
    <t>Diphenhydramin 10mg</t>
  </si>
  <si>
    <t>Nước cất</t>
  </si>
  <si>
    <t xml:space="preserve"> Bơm kim tiêm 10ml</t>
  </si>
  <si>
    <t xml:space="preserve"> Bơm kim tiêm 5ml</t>
  </si>
  <si>
    <t xml:space="preserve"> Bơm kim tiêm 1ml</t>
  </si>
  <si>
    <t>Tiêm</t>
  </si>
  <si>
    <t xml:space="preserve">Cái </t>
  </si>
  <si>
    <t>Ống</t>
  </si>
  <si>
    <t>Metronidazol</t>
  </si>
  <si>
    <t>Enpovid AD</t>
  </si>
  <si>
    <t>5000IU</t>
  </si>
  <si>
    <t>SPM</t>
  </si>
  <si>
    <t>Liên Kết</t>
  </si>
  <si>
    <t>Kim Đô</t>
  </si>
  <si>
    <t>NHẬP</t>
  </si>
  <si>
    <t>XUẤT</t>
  </si>
  <si>
    <t>TỒN ĐẦU 2025</t>
  </si>
  <si>
    <t xml:space="preserve">SL </t>
  </si>
  <si>
    <t>Antacil</t>
  </si>
  <si>
    <t>Nhai</t>
  </si>
  <si>
    <t>TGĐ ĐHTH_ TX_ TS</t>
  </si>
  <si>
    <t>TỔNG HỢP</t>
  </si>
  <si>
    <t>LÊ THANH HẢI</t>
  </si>
  <si>
    <t>PHAN THỊ ÚT THẢO</t>
  </si>
  <si>
    <t>Ngày 03 Tháng 12 Năm 2025</t>
  </si>
  <si>
    <t>ĐỀ NGHỊ MUA THÁNG 12/2025</t>
  </si>
  <si>
    <t>QT THUỐC THÁNG 11 NĂM 2025 _ ĐỀ NGHỊ MUA THUỐC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</si>
</sst>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(&quot;$&quot;* #,##0_);_(&quot;$&quot;* \(#,##0\);_(&quot;$&quot;* &quot;-&quot;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&quot;\&quot;#,##0.00;[Red]&quot;\&quot;&quot;\&quot;&quot;\&quot;&quot;\&quot;&quot;\&quot;&quot;\&quot;\-#,##0.00"/>
    <numFmt numFmtId="167" formatCode="&quot;\&quot;#,##0;[Red]&quot;\&quot;&quot;\&quot;\-#,##0"/>
    <numFmt numFmtId="168" formatCode="\$#,##0\ ;\(\$#,##0\)"/>
  </numFmts>
  <fonts count="2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Times New Roman"/>
      <family val="1"/>
    </font>
    <font>
      <b/>
      <sz val="2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1"/>
      <color indexed="8"/>
      <name val="Calibri"/>
      <family val="2"/>
    </font>
    <font>
      <b/>
      <u/>
      <sz val="16"/>
      <color rgb="FFFF0000"/>
      <name val="Times New Roman"/>
      <family val="1"/>
    </font>
    <font>
      <b/>
      <u/>
      <sz val="12"/>
      <color rgb="FFFF0000"/>
      <name val="Times New Roman"/>
      <family val="1"/>
    </font>
    <font>
      <b/>
      <u val="singleAccounting"/>
      <sz val="12"/>
      <color rgb="FFFF0000"/>
      <name val="Times New Roman"/>
      <family val="1"/>
    </font>
    <font>
      <b/>
      <u val="singleAccounting"/>
      <sz val="12"/>
      <color theme="0"/>
      <name val="Times New Roman"/>
      <family val="1"/>
    </font>
    <font>
      <sz val="12"/>
      <color rgb="FF000000"/>
      <name val="Times New Roman"/>
      <family val="1"/>
    </font>
    <font>
      <sz val="14"/>
      <name val="??"/>
      <family val="3"/>
      <charset val="129"/>
    </font>
    <font>
      <sz val="10"/>
      <name val="???"/>
      <family val="3"/>
      <charset val="129"/>
    </font>
    <font>
      <sz val="10"/>
      <name val="VNI-Times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6"/>
      <color theme="1"/>
      <name val="Times New Roman"/>
      <family val="1"/>
    </font>
    <font>
      <sz val="16"/>
      <name val="Times New Roman"/>
      <family val="1"/>
    </font>
    <font>
      <b/>
      <i/>
      <sz val="16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3">
    <xf numFmtId="0" fontId="0" fillId="0" borderId="0"/>
    <xf numFmtId="43" fontId="2" fillId="0" borderId="0" applyFont="0" applyFill="0" applyBorder="0" applyAlignment="0" applyProtection="0"/>
    <xf numFmtId="0" fontId="12" fillId="0" borderId="0"/>
    <xf numFmtId="166" fontId="2" fillId="0" borderId="0" applyFont="0" applyFill="0" applyBorder="0" applyAlignment="0" applyProtection="0"/>
    <xf numFmtId="0" fontId="18" fillId="0" borderId="0" applyFont="0" applyFill="0" applyBorder="0" applyAlignment="0" applyProtection="0"/>
    <xf numFmtId="167" fontId="2" fillId="0" borderId="0" applyFont="0" applyFill="0" applyBorder="0" applyAlignment="0" applyProtection="0"/>
    <xf numFmtId="40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9" fillId="0" borderId="0"/>
    <xf numFmtId="42" fontId="20" fillId="0" borderId="0" applyFont="0" applyFill="0" applyBorder="0" applyAlignment="0" applyProtection="0"/>
    <xf numFmtId="0" fontId="21" fillId="0" borderId="0">
      <alignment vertical="top"/>
    </xf>
    <xf numFmtId="0" fontId="2" fillId="0" borderId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22" fillId="0" borderId="0"/>
    <xf numFmtId="0" fontId="1" fillId="0" borderId="0"/>
    <xf numFmtId="42" fontId="20" fillId="0" borderId="0" applyFont="0" applyFill="0" applyBorder="0" applyAlignment="0" applyProtection="0"/>
  </cellStyleXfs>
  <cellXfs count="213">
    <xf numFmtId="0" fontId="0" fillId="0" borderId="0" xfId="0"/>
    <xf numFmtId="164" fontId="3" fillId="2" borderId="0" xfId="1" applyNumberFormat="1" applyFont="1" applyFill="1" applyAlignment="1"/>
    <xf numFmtId="164" fontId="3" fillId="2" borderId="0" xfId="1" applyNumberFormat="1" applyFont="1" applyFill="1"/>
    <xf numFmtId="0" fontId="6" fillId="2" borderId="0" xfId="0" applyFont="1" applyFill="1"/>
    <xf numFmtId="164" fontId="3" fillId="2" borderId="0" xfId="1" applyNumberFormat="1" applyFont="1" applyFill="1" applyBorder="1"/>
    <xf numFmtId="164" fontId="8" fillId="2" borderId="0" xfId="1" applyNumberFormat="1" applyFont="1" applyFill="1" applyAlignment="1"/>
    <xf numFmtId="164" fontId="5" fillId="2" borderId="0" xfId="1" applyNumberFormat="1" applyFont="1" applyFill="1" applyAlignment="1">
      <alignment horizontal="left"/>
    </xf>
    <xf numFmtId="164" fontId="7" fillId="2" borderId="0" xfId="1" applyNumberFormat="1" applyFont="1" applyFill="1" applyBorder="1"/>
    <xf numFmtId="164" fontId="8" fillId="2" borderId="0" xfId="1" applyNumberFormat="1" applyFont="1" applyFill="1" applyBorder="1" applyAlignment="1">
      <alignment horizontal="centerContinuous"/>
    </xf>
    <xf numFmtId="164" fontId="8" fillId="2" borderId="0" xfId="1" applyNumberFormat="1" applyFont="1" applyFill="1" applyAlignment="1">
      <alignment horizontal="centerContinuous"/>
    </xf>
    <xf numFmtId="164" fontId="5" fillId="2" borderId="0" xfId="1" applyNumberFormat="1" applyFont="1" applyFill="1"/>
    <xf numFmtId="164" fontId="8" fillId="2" borderId="0" xfId="1" applyNumberFormat="1" applyFont="1" applyFill="1" applyAlignment="1">
      <alignment horizontal="left"/>
    </xf>
    <xf numFmtId="165" fontId="6" fillId="2" borderId="0" xfId="0" applyNumberFormat="1" applyFont="1" applyFill="1"/>
    <xf numFmtId="0" fontId="6" fillId="2" borderId="0" xfId="0" applyFont="1" applyFill="1" applyAlignment="1"/>
    <xf numFmtId="0" fontId="5" fillId="2" borderId="0" xfId="0" applyFont="1" applyFill="1"/>
    <xf numFmtId="14" fontId="9" fillId="2" borderId="0" xfId="1" applyNumberFormat="1" applyFont="1" applyFill="1" applyBorder="1" applyAlignment="1">
      <alignment horizontal="right"/>
    </xf>
    <xf numFmtId="14" fontId="6" fillId="2" borderId="0" xfId="0" applyNumberFormat="1" applyFont="1" applyFill="1" applyAlignment="1">
      <alignment horizontal="right"/>
    </xf>
    <xf numFmtId="2" fontId="3" fillId="2" borderId="0" xfId="1" applyNumberFormat="1" applyFont="1" applyFill="1" applyAlignment="1">
      <alignment horizontal="left"/>
    </xf>
    <xf numFmtId="2" fontId="8" fillId="2" borderId="0" xfId="1" applyNumberFormat="1" applyFont="1" applyFill="1" applyAlignment="1">
      <alignment horizontal="left"/>
    </xf>
    <xf numFmtId="2" fontId="6" fillId="2" borderId="0" xfId="0" applyNumberFormat="1" applyFont="1" applyFill="1"/>
    <xf numFmtId="3" fontId="6" fillId="2" borderId="0" xfId="0" applyNumberFormat="1" applyFont="1" applyFill="1"/>
    <xf numFmtId="3" fontId="3" fillId="2" borderId="0" xfId="1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3" fontId="8" fillId="5" borderId="1" xfId="1" applyNumberFormat="1" applyFont="1" applyFill="1" applyBorder="1" applyAlignment="1">
      <alignment horizontal="center" vertical="center"/>
    </xf>
    <xf numFmtId="1" fontId="3" fillId="2" borderId="0" xfId="1" applyNumberFormat="1" applyFont="1" applyFill="1" applyBorder="1" applyAlignment="1">
      <alignment horizontal="right"/>
    </xf>
    <xf numFmtId="0" fontId="14" fillId="2" borderId="0" xfId="0" applyFont="1" applyFill="1"/>
    <xf numFmtId="3" fontId="3" fillId="2" borderId="0" xfId="1" applyNumberFormat="1" applyFont="1" applyFill="1" applyAlignment="1"/>
    <xf numFmtId="3" fontId="3" fillId="2" borderId="0" xfId="1" applyNumberFormat="1" applyFont="1" applyFill="1"/>
    <xf numFmtId="3" fontId="6" fillId="2" borderId="0" xfId="0" applyNumberFormat="1" applyFont="1" applyFill="1" applyAlignment="1"/>
    <xf numFmtId="3" fontId="6" fillId="2" borderId="0" xfId="1" applyNumberFormat="1" applyFont="1" applyFill="1"/>
    <xf numFmtId="3" fontId="6" fillId="2" borderId="3" xfId="0" applyNumberFormat="1" applyFont="1" applyFill="1" applyBorder="1"/>
    <xf numFmtId="2" fontId="6" fillId="2" borderId="3" xfId="1" applyNumberFormat="1" applyFont="1" applyFill="1" applyBorder="1" applyAlignment="1">
      <alignment horizontal="left" shrinkToFit="1"/>
    </xf>
    <xf numFmtId="3" fontId="3" fillId="2" borderId="3" xfId="1" applyNumberFormat="1" applyFont="1" applyFill="1" applyBorder="1" applyAlignment="1">
      <alignment horizontal="center" vertical="center" shrinkToFit="1"/>
    </xf>
    <xf numFmtId="3" fontId="3" fillId="2" borderId="3" xfId="1" applyNumberFormat="1" applyFont="1" applyFill="1" applyBorder="1" applyAlignment="1">
      <alignment shrinkToFit="1"/>
    </xf>
    <xf numFmtId="164" fontId="3" fillId="2" borderId="3" xfId="1" applyNumberFormat="1" applyFont="1" applyFill="1" applyBorder="1" applyAlignment="1">
      <alignment shrinkToFit="1"/>
    </xf>
    <xf numFmtId="1" fontId="3" fillId="2" borderId="3" xfId="1" applyNumberFormat="1" applyFont="1" applyFill="1" applyBorder="1" applyAlignment="1">
      <alignment shrinkToFit="1"/>
    </xf>
    <xf numFmtId="14" fontId="3" fillId="2" borderId="3" xfId="1" applyNumberFormat="1" applyFont="1" applyFill="1" applyBorder="1" applyAlignment="1">
      <alignment horizontal="right" shrinkToFit="1"/>
    </xf>
    <xf numFmtId="3" fontId="14" fillId="6" borderId="3" xfId="1" applyNumberFormat="1" applyFont="1" applyFill="1" applyBorder="1" applyAlignment="1">
      <alignment horizontal="center" vertical="center" shrinkToFit="1"/>
    </xf>
    <xf numFmtId="3" fontId="14" fillId="6" borderId="3" xfId="0" applyNumberFormat="1" applyFont="1" applyFill="1" applyBorder="1" applyAlignment="1">
      <alignment horizontal="center" vertical="center"/>
    </xf>
    <xf numFmtId="3" fontId="15" fillId="6" borderId="3" xfId="1" applyNumberFormat="1" applyFont="1" applyFill="1" applyBorder="1" applyAlignment="1">
      <alignment horizontal="center" vertical="center"/>
    </xf>
    <xf numFmtId="3" fontId="9" fillId="6" borderId="3" xfId="1" applyNumberFormat="1" applyFont="1" applyFill="1" applyBorder="1"/>
    <xf numFmtId="164" fontId="15" fillId="6" borderId="3" xfId="1" applyNumberFormat="1" applyFont="1" applyFill="1" applyBorder="1" applyAlignment="1">
      <alignment horizontal="center" vertical="center"/>
    </xf>
    <xf numFmtId="0" fontId="9" fillId="6" borderId="3" xfId="0" applyFont="1" applyFill="1" applyBorder="1"/>
    <xf numFmtId="14" fontId="9" fillId="6" borderId="3" xfId="0" applyNumberFormat="1" applyFont="1" applyFill="1" applyBorder="1" applyAlignment="1">
      <alignment horizontal="right"/>
    </xf>
    <xf numFmtId="3" fontId="16" fillId="6" borderId="3" xfId="1" applyNumberFormat="1" applyFont="1" applyFill="1" applyBorder="1" applyAlignment="1">
      <alignment horizontal="center" vertical="center"/>
    </xf>
    <xf numFmtId="3" fontId="15" fillId="6" borderId="4" xfId="1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164" fontId="9" fillId="3" borderId="3" xfId="0" applyNumberFormat="1" applyFont="1" applyFill="1" applyBorder="1" applyAlignment="1">
      <alignment horizontal="left" vertical="center"/>
    </xf>
    <xf numFmtId="164" fontId="9" fillId="3" borderId="3" xfId="1" applyNumberFormat="1" applyFont="1" applyFill="1" applyBorder="1" applyAlignment="1">
      <alignment horizontal="center" vertical="center" shrinkToFit="1"/>
    </xf>
    <xf numFmtId="2" fontId="9" fillId="3" borderId="3" xfId="1" applyNumberFormat="1" applyFont="1" applyFill="1" applyBorder="1" applyAlignment="1">
      <alignment horizontal="left" vertical="center" shrinkToFit="1"/>
    </xf>
    <xf numFmtId="164" fontId="9" fillId="3" borderId="3" xfId="1" applyNumberFormat="1" applyFont="1" applyFill="1" applyBorder="1" applyAlignment="1">
      <alignment vertical="center" shrinkToFit="1"/>
    </xf>
    <xf numFmtId="164" fontId="14" fillId="3" borderId="3" xfId="0" applyNumberFormat="1" applyFont="1" applyFill="1" applyBorder="1" applyAlignment="1">
      <alignment horizontal="center" vertical="center"/>
    </xf>
    <xf numFmtId="3" fontId="14" fillId="3" borderId="3" xfId="1" applyNumberFormat="1" applyFont="1" applyFill="1" applyBorder="1" applyAlignment="1">
      <alignment horizontal="center" vertical="center" shrinkToFit="1"/>
    </xf>
    <xf numFmtId="3" fontId="14" fillId="3" borderId="3" xfId="1" applyNumberFormat="1" applyFont="1" applyFill="1" applyBorder="1" applyAlignment="1">
      <alignment shrinkToFit="1"/>
    </xf>
    <xf numFmtId="1" fontId="14" fillId="3" borderId="3" xfId="1" applyNumberFormat="1" applyFont="1" applyFill="1" applyBorder="1" applyAlignment="1">
      <alignment shrinkToFit="1"/>
    </xf>
    <xf numFmtId="164" fontId="14" fillId="3" borderId="3" xfId="1" applyNumberFormat="1" applyFont="1" applyFill="1" applyBorder="1" applyAlignment="1">
      <alignment shrinkToFit="1"/>
    </xf>
    <xf numFmtId="14" fontId="14" fillId="3" borderId="3" xfId="1" applyNumberFormat="1" applyFont="1" applyFill="1" applyBorder="1" applyAlignment="1">
      <alignment horizontal="right" shrinkToFit="1"/>
    </xf>
    <xf numFmtId="3" fontId="14" fillId="3" borderId="4" xfId="1" applyNumberFormat="1" applyFont="1" applyFill="1" applyBorder="1" applyAlignment="1">
      <alignment shrinkToFit="1"/>
    </xf>
    <xf numFmtId="164" fontId="6" fillId="2" borderId="2" xfId="1" applyNumberFormat="1" applyFont="1" applyFill="1" applyBorder="1" applyAlignment="1"/>
    <xf numFmtId="49" fontId="6" fillId="7" borderId="3" xfId="2" applyNumberFormat="1" applyFont="1" applyFill="1" applyBorder="1" applyAlignment="1">
      <alignment horizontal="left" shrinkToFit="1"/>
    </xf>
    <xf numFmtId="164" fontId="6" fillId="2" borderId="3" xfId="1" applyNumberFormat="1" applyFont="1" applyFill="1" applyBorder="1" applyAlignment="1">
      <alignment horizontal="center" shrinkToFit="1"/>
    </xf>
    <xf numFmtId="2" fontId="17" fillId="2" borderId="3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vertical="center"/>
    </xf>
    <xf numFmtId="3" fontId="6" fillId="2" borderId="3" xfId="1" applyNumberFormat="1" applyFont="1" applyFill="1" applyBorder="1" applyAlignment="1">
      <alignment horizontal="center" vertical="center" wrapText="1" shrinkToFit="1"/>
    </xf>
    <xf numFmtId="3" fontId="6" fillId="2" borderId="3" xfId="1" applyNumberFormat="1" applyFont="1" applyFill="1" applyBorder="1" applyAlignment="1">
      <alignment horizontal="center" vertical="center" shrinkToFit="1"/>
    </xf>
    <xf numFmtId="3" fontId="5" fillId="2" borderId="3" xfId="0" applyNumberFormat="1" applyFont="1" applyFill="1" applyBorder="1"/>
    <xf numFmtId="3" fontId="3" fillId="2" borderId="4" xfId="1" applyNumberFormat="1" applyFont="1" applyFill="1" applyBorder="1" applyAlignment="1">
      <alignment shrinkToFit="1"/>
    </xf>
    <xf numFmtId="2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3" fontId="6" fillId="2" borderId="3" xfId="1" applyNumberFormat="1" applyFont="1" applyFill="1" applyBorder="1" applyAlignment="1">
      <alignment shrinkToFit="1"/>
    </xf>
    <xf numFmtId="164" fontId="6" fillId="2" borderId="3" xfId="1" applyNumberFormat="1" applyFont="1" applyFill="1" applyBorder="1" applyAlignment="1">
      <alignment shrinkToFit="1"/>
    </xf>
    <xf numFmtId="14" fontId="6" fillId="2" borderId="3" xfId="1" applyNumberFormat="1" applyFont="1" applyFill="1" applyBorder="1" applyAlignment="1">
      <alignment horizontal="right" shrinkToFit="1"/>
    </xf>
    <xf numFmtId="3" fontId="6" fillId="2" borderId="4" xfId="1" applyNumberFormat="1" applyFont="1" applyFill="1" applyBorder="1" applyAlignment="1">
      <alignment shrinkToFit="1"/>
    </xf>
    <xf numFmtId="3" fontId="5" fillId="0" borderId="3" xfId="1" applyNumberFormat="1" applyFont="1" applyFill="1" applyBorder="1" applyAlignment="1">
      <alignment shrinkToFit="1"/>
    </xf>
    <xf numFmtId="0" fontId="6" fillId="2" borderId="3" xfId="0" applyFont="1" applyFill="1" applyBorder="1" applyAlignment="1">
      <alignment horizontal="left" vertical="center"/>
    </xf>
    <xf numFmtId="2" fontId="6" fillId="2" borderId="3" xfId="1" applyNumberFormat="1" applyFont="1" applyFill="1" applyBorder="1" applyAlignment="1">
      <alignment horizontal="center" shrinkToFit="1"/>
    </xf>
    <xf numFmtId="3" fontId="6" fillId="2" borderId="3" xfId="0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/>
    <xf numFmtId="164" fontId="14" fillId="3" borderId="3" xfId="1" applyNumberFormat="1" applyFont="1" applyFill="1" applyBorder="1" applyAlignment="1">
      <alignment horizontal="center" vertical="center" shrinkToFit="1"/>
    </xf>
    <xf numFmtId="2" fontId="14" fillId="3" borderId="3" xfId="1" applyNumberFormat="1" applyFont="1" applyFill="1" applyBorder="1" applyAlignment="1">
      <alignment horizontal="left" vertical="center" shrinkToFit="1"/>
    </xf>
    <xf numFmtId="164" fontId="14" fillId="3" borderId="3" xfId="1" applyNumberFormat="1" applyFont="1" applyFill="1" applyBorder="1" applyAlignment="1">
      <alignment vertical="center" shrinkToFit="1"/>
    </xf>
    <xf numFmtId="3" fontId="14" fillId="3" borderId="3" xfId="1" applyNumberFormat="1" applyFont="1" applyFill="1" applyBorder="1" applyAlignment="1">
      <alignment horizontal="center" vertical="center"/>
    </xf>
    <xf numFmtId="3" fontId="14" fillId="3" borderId="4" xfId="1" applyNumberFormat="1" applyFont="1" applyFill="1" applyBorder="1" applyAlignment="1">
      <alignment horizontal="center" vertical="center"/>
    </xf>
    <xf numFmtId="49" fontId="17" fillId="2" borderId="3" xfId="0" applyNumberFormat="1" applyFont="1" applyFill="1" applyBorder="1" applyAlignment="1">
      <alignment horizontal="left" wrapText="1" shrinkToFit="1"/>
    </xf>
    <xf numFmtId="0" fontId="5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/>
    </xf>
    <xf numFmtId="3" fontId="17" fillId="0" borderId="3" xfId="0" applyNumberFormat="1" applyFont="1" applyFill="1" applyBorder="1" applyAlignment="1">
      <alignment horizontal="left" wrapText="1" shrinkToFit="1"/>
    </xf>
    <xf numFmtId="0" fontId="5" fillId="2" borderId="3" xfId="0" applyFont="1" applyFill="1" applyBorder="1" applyAlignment="1"/>
    <xf numFmtId="164" fontId="6" fillId="2" borderId="3" xfId="1" applyNumberFormat="1" applyFont="1" applyFill="1" applyBorder="1" applyAlignment="1">
      <alignment horizontal="left" shrinkToFit="1"/>
    </xf>
    <xf numFmtId="0" fontId="6" fillId="2" borderId="2" xfId="0" applyFont="1" applyFill="1" applyBorder="1" applyAlignment="1">
      <alignment vertical="center"/>
    </xf>
    <xf numFmtId="3" fontId="14" fillId="3" borderId="3" xfId="1" applyNumberFormat="1" applyFont="1" applyFill="1" applyBorder="1" applyAlignment="1">
      <alignment horizontal="center" vertical="center" wrapText="1" shrinkToFit="1"/>
    </xf>
    <xf numFmtId="3" fontId="3" fillId="0" borderId="3" xfId="1" applyNumberFormat="1" applyFont="1" applyFill="1" applyBorder="1" applyAlignment="1">
      <alignment horizontal="center" vertical="center" shrinkToFit="1"/>
    </xf>
    <xf numFmtId="0" fontId="6" fillId="2" borderId="2" xfId="0" applyFont="1" applyFill="1" applyBorder="1" applyAlignment="1"/>
    <xf numFmtId="0" fontId="5" fillId="2" borderId="3" xfId="0" applyFont="1" applyFill="1" applyBorder="1"/>
    <xf numFmtId="0" fontId="5" fillId="2" borderId="5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2" fontId="6" fillId="2" borderId="5" xfId="1" applyNumberFormat="1" applyFont="1" applyFill="1" applyBorder="1" applyAlignment="1">
      <alignment horizontal="left" shrinkToFit="1"/>
    </xf>
    <xf numFmtId="164" fontId="6" fillId="2" borderId="5" xfId="1" applyNumberFormat="1" applyFont="1" applyFill="1" applyBorder="1" applyAlignment="1">
      <alignment shrinkToFit="1"/>
    </xf>
    <xf numFmtId="164" fontId="6" fillId="2" borderId="5" xfId="1" applyNumberFormat="1" applyFont="1" applyFill="1" applyBorder="1" applyAlignment="1">
      <alignment horizontal="center" shrinkToFit="1"/>
    </xf>
    <xf numFmtId="3" fontId="6" fillId="2" borderId="5" xfId="1" applyNumberFormat="1" applyFont="1" applyFill="1" applyBorder="1" applyAlignment="1">
      <alignment horizontal="center" vertical="center" shrinkToFit="1"/>
    </xf>
    <xf numFmtId="3" fontId="6" fillId="2" borderId="5" xfId="0" applyNumberFormat="1" applyFont="1" applyFill="1" applyBorder="1" applyAlignment="1">
      <alignment horizontal="center" vertical="center"/>
    </xf>
    <xf numFmtId="3" fontId="3" fillId="2" borderId="5" xfId="1" applyNumberFormat="1" applyFont="1" applyFill="1" applyBorder="1" applyAlignment="1">
      <alignment shrinkToFit="1"/>
    </xf>
    <xf numFmtId="164" fontId="3" fillId="2" borderId="5" xfId="1" applyNumberFormat="1" applyFont="1" applyFill="1" applyBorder="1" applyAlignment="1">
      <alignment shrinkToFit="1"/>
    </xf>
    <xf numFmtId="14" fontId="3" fillId="2" borderId="5" xfId="1" applyNumberFormat="1" applyFont="1" applyFill="1" applyBorder="1" applyAlignment="1">
      <alignment horizontal="right" shrinkToFit="1"/>
    </xf>
    <xf numFmtId="3" fontId="5" fillId="2" borderId="5" xfId="0" applyNumberFormat="1" applyFont="1" applyFill="1" applyBorder="1"/>
    <xf numFmtId="3" fontId="3" fillId="2" borderId="6" xfId="1" applyNumberFormat="1" applyFont="1" applyFill="1" applyBorder="1" applyAlignment="1">
      <alignment shrinkToFit="1"/>
    </xf>
    <xf numFmtId="165" fontId="6" fillId="2" borderId="7" xfId="1" applyNumberFormat="1" applyFont="1" applyFill="1" applyBorder="1" applyAlignment="1"/>
    <xf numFmtId="165" fontId="7" fillId="2" borderId="8" xfId="0" applyNumberFormat="1" applyFont="1" applyFill="1" applyBorder="1" applyAlignment="1">
      <alignment horizontal="left" vertical="center"/>
    </xf>
    <xf numFmtId="165" fontId="5" fillId="2" borderId="8" xfId="0" applyNumberFormat="1" applyFont="1" applyFill="1" applyBorder="1" applyAlignment="1"/>
    <xf numFmtId="2" fontId="6" fillId="2" borderId="8" xfId="1" applyNumberFormat="1" applyFont="1" applyFill="1" applyBorder="1" applyAlignment="1">
      <alignment horizontal="left" shrinkToFit="1"/>
    </xf>
    <xf numFmtId="165" fontId="6" fillId="2" borderId="8" xfId="1" applyNumberFormat="1" applyFont="1" applyFill="1" applyBorder="1" applyAlignment="1">
      <alignment shrinkToFit="1"/>
    </xf>
    <xf numFmtId="165" fontId="6" fillId="2" borderId="8" xfId="1" applyNumberFormat="1" applyFont="1" applyFill="1" applyBorder="1" applyAlignment="1">
      <alignment horizontal="center" shrinkToFit="1"/>
    </xf>
    <xf numFmtId="3" fontId="3" fillId="2" borderId="8" xfId="1" applyNumberFormat="1" applyFont="1" applyFill="1" applyBorder="1" applyAlignment="1">
      <alignment horizontal="center" vertical="center" shrinkToFit="1"/>
    </xf>
    <xf numFmtId="3" fontId="3" fillId="2" borderId="8" xfId="1" applyNumberFormat="1" applyFont="1" applyFill="1" applyBorder="1" applyAlignment="1">
      <alignment shrinkToFit="1"/>
    </xf>
    <xf numFmtId="164" fontId="3" fillId="2" borderId="8" xfId="1" applyNumberFormat="1" applyFont="1" applyFill="1" applyBorder="1" applyAlignment="1">
      <alignment shrinkToFit="1"/>
    </xf>
    <xf numFmtId="14" fontId="3" fillId="2" borderId="8" xfId="1" applyNumberFormat="1" applyFont="1" applyFill="1" applyBorder="1" applyAlignment="1">
      <alignment horizontal="right" shrinkToFit="1"/>
    </xf>
    <xf numFmtId="165" fontId="3" fillId="2" borderId="8" xfId="1" applyNumberFormat="1" applyFont="1" applyFill="1" applyBorder="1" applyAlignment="1">
      <alignment shrinkToFit="1"/>
    </xf>
    <xf numFmtId="164" fontId="6" fillId="2" borderId="8" xfId="2" applyNumberFormat="1" applyFont="1" applyFill="1" applyBorder="1" applyAlignment="1">
      <alignment horizontal="center" vertical="center"/>
    </xf>
    <xf numFmtId="3" fontId="6" fillId="2" borderId="8" xfId="0" applyNumberFormat="1" applyFont="1" applyFill="1" applyBorder="1"/>
    <xf numFmtId="3" fontId="6" fillId="2" borderId="9" xfId="0" applyNumberFormat="1" applyFont="1" applyFill="1" applyBorder="1"/>
    <xf numFmtId="3" fontId="8" fillId="5" borderId="1" xfId="1" applyNumberFormat="1" applyFont="1" applyFill="1" applyBorder="1" applyAlignment="1">
      <alignment horizontal="center" vertical="center" wrapText="1"/>
    </xf>
    <xf numFmtId="3" fontId="11" fillId="8" borderId="1" xfId="1" applyNumberFormat="1" applyFont="1" applyFill="1" applyBorder="1" applyAlignment="1">
      <alignment horizontal="center" vertical="center" wrapText="1"/>
    </xf>
    <xf numFmtId="3" fontId="11" fillId="8" borderId="1" xfId="1" applyNumberFormat="1" applyFont="1" applyFill="1" applyBorder="1" applyAlignment="1">
      <alignment horizontal="center" vertical="center"/>
    </xf>
    <xf numFmtId="164" fontId="10" fillId="5" borderId="1" xfId="1" applyNumberFormat="1" applyFont="1" applyFill="1" applyBorder="1" applyAlignment="1">
      <alignment horizontal="center" vertical="center"/>
    </xf>
    <xf numFmtId="3" fontId="3" fillId="2" borderId="0" xfId="1" applyNumberFormat="1" applyFont="1" applyFill="1" applyBorder="1"/>
    <xf numFmtId="43" fontId="15" fillId="6" borderId="3" xfId="1" applyNumberFormat="1" applyFont="1" applyFill="1" applyBorder="1" applyAlignment="1">
      <alignment horizontal="center" vertical="center"/>
    </xf>
    <xf numFmtId="164" fontId="8" fillId="5" borderId="1" xfId="1" applyNumberFormat="1" applyFont="1" applyFill="1" applyBorder="1" applyAlignment="1">
      <alignment horizontal="center" vertical="center"/>
    </xf>
    <xf numFmtId="3" fontId="11" fillId="4" borderId="1" xfId="1" applyNumberFormat="1" applyFont="1" applyFill="1" applyBorder="1" applyAlignment="1">
      <alignment horizontal="center" vertical="center" wrapText="1"/>
    </xf>
    <xf numFmtId="3" fontId="5" fillId="2" borderId="20" xfId="0" applyNumberFormat="1" applyFont="1" applyFill="1" applyBorder="1"/>
    <xf numFmtId="3" fontId="14" fillId="3" borderId="8" xfId="1" applyNumberFormat="1" applyFont="1" applyFill="1" applyBorder="1" applyAlignment="1">
      <alignment horizontal="center" vertical="center"/>
    </xf>
    <xf numFmtId="3" fontId="9" fillId="6" borderId="3" xfId="0" applyNumberFormat="1" applyFont="1" applyFill="1" applyBorder="1"/>
    <xf numFmtId="3" fontId="8" fillId="2" borderId="0" xfId="1" applyNumberFormat="1" applyFont="1" applyFill="1" applyBorder="1" applyAlignment="1">
      <alignment horizontal="centerContinuous"/>
    </xf>
    <xf numFmtId="3" fontId="3" fillId="2" borderId="19" xfId="1" applyNumberFormat="1" applyFont="1" applyFill="1" applyBorder="1" applyAlignment="1">
      <alignment shrinkToFit="1"/>
    </xf>
    <xf numFmtId="164" fontId="5" fillId="2" borderId="2" xfId="1" applyNumberFormat="1" applyFont="1" applyFill="1" applyBorder="1" applyAlignment="1"/>
    <xf numFmtId="3" fontId="5" fillId="0" borderId="3" xfId="0" applyNumberFormat="1" applyFont="1" applyFill="1" applyBorder="1" applyAlignment="1">
      <alignment horizontal="left" wrapText="1" shrinkToFit="1"/>
    </xf>
    <xf numFmtId="164" fontId="5" fillId="2" borderId="3" xfId="1" applyNumberFormat="1" applyFont="1" applyFill="1" applyBorder="1" applyAlignment="1">
      <alignment horizontal="center" shrinkToFit="1"/>
    </xf>
    <xf numFmtId="2" fontId="5" fillId="2" borderId="3" xfId="1" applyNumberFormat="1" applyFont="1" applyFill="1" applyBorder="1" applyAlignment="1">
      <alignment horizontal="center" shrinkToFit="1"/>
    </xf>
    <xf numFmtId="164" fontId="5" fillId="2" borderId="3" xfId="1" applyNumberFormat="1" applyFont="1" applyFill="1" applyBorder="1" applyAlignment="1">
      <alignment shrinkToFit="1"/>
    </xf>
    <xf numFmtId="3" fontId="5" fillId="2" borderId="3" xfId="1" applyNumberFormat="1" applyFont="1" applyFill="1" applyBorder="1" applyAlignment="1">
      <alignment horizontal="center" vertical="center" shrinkToFit="1"/>
    </xf>
    <xf numFmtId="3" fontId="5" fillId="2" borderId="3" xfId="0" applyNumberFormat="1" applyFont="1" applyFill="1" applyBorder="1" applyAlignment="1">
      <alignment horizontal="center" vertical="center"/>
    </xf>
    <xf numFmtId="3" fontId="5" fillId="2" borderId="3" xfId="1" applyNumberFormat="1" applyFont="1" applyFill="1" applyBorder="1" applyAlignment="1">
      <alignment shrinkToFit="1"/>
    </xf>
    <xf numFmtId="14" fontId="5" fillId="2" borderId="3" xfId="1" applyNumberFormat="1" applyFont="1" applyFill="1" applyBorder="1" applyAlignment="1">
      <alignment horizontal="right" shrinkToFit="1"/>
    </xf>
    <xf numFmtId="3" fontId="5" fillId="2" borderId="4" xfId="1" applyNumberFormat="1" applyFont="1" applyFill="1" applyBorder="1" applyAlignment="1">
      <alignment shrinkToFit="1"/>
    </xf>
    <xf numFmtId="3" fontId="24" fillId="2" borderId="0" xfId="0" applyNumberFormat="1" applyFont="1" applyFill="1"/>
    <xf numFmtId="0" fontId="24" fillId="2" borderId="0" xfId="0" applyFont="1" applyFill="1"/>
    <xf numFmtId="0" fontId="24" fillId="2" borderId="0" xfId="0" applyFont="1" applyFill="1" applyAlignment="1"/>
    <xf numFmtId="0" fontId="23" fillId="2" borderId="0" xfId="0" applyFont="1" applyFill="1"/>
    <xf numFmtId="2" fontId="24" fillId="2" borderId="0" xfId="0" applyNumberFormat="1" applyFont="1" applyFill="1"/>
    <xf numFmtId="3" fontId="24" fillId="2" borderId="0" xfId="0" applyNumberFormat="1" applyFont="1" applyFill="1" applyAlignment="1">
      <alignment horizontal="center" vertical="center"/>
    </xf>
    <xf numFmtId="3" fontId="24" fillId="2" borderId="0" xfId="0" applyNumberFormat="1" applyFont="1" applyFill="1" applyAlignment="1"/>
    <xf numFmtId="3" fontId="24" fillId="2" borderId="0" xfId="1" applyNumberFormat="1" applyFont="1" applyFill="1"/>
    <xf numFmtId="14" fontId="24" fillId="2" borderId="0" xfId="0" applyNumberFormat="1" applyFont="1" applyFill="1" applyAlignment="1">
      <alignment horizontal="right"/>
    </xf>
    <xf numFmtId="164" fontId="10" fillId="5" borderId="1" xfId="1" applyNumberFormat="1" applyFont="1" applyFill="1" applyBorder="1" applyAlignment="1">
      <alignment horizontal="center" vertical="center" wrapText="1"/>
    </xf>
    <xf numFmtId="3" fontId="11" fillId="8" borderId="1" xfId="1" applyNumberFormat="1" applyFont="1" applyFill="1" applyBorder="1" applyAlignment="1">
      <alignment horizontal="center" vertical="center"/>
    </xf>
    <xf numFmtId="3" fontId="11" fillId="4" borderId="14" xfId="1" applyNumberFormat="1" applyFont="1" applyFill="1" applyBorder="1" applyAlignment="1">
      <alignment horizontal="center" vertical="center"/>
    </xf>
    <xf numFmtId="3" fontId="11" fillId="4" borderId="15" xfId="1" applyNumberFormat="1" applyFont="1" applyFill="1" applyBorder="1" applyAlignment="1">
      <alignment horizontal="center" vertical="center"/>
    </xf>
    <xf numFmtId="3" fontId="11" fillId="4" borderId="17" xfId="1" applyNumberFormat="1" applyFont="1" applyFill="1" applyBorder="1" applyAlignment="1">
      <alignment horizontal="center" vertical="center"/>
    </xf>
    <xf numFmtId="3" fontId="11" fillId="4" borderId="18" xfId="1" applyNumberFormat="1" applyFont="1" applyFill="1" applyBorder="1" applyAlignment="1">
      <alignment horizontal="center" vertical="center"/>
    </xf>
    <xf numFmtId="3" fontId="11" fillId="8" borderId="13" xfId="1" applyNumberFormat="1" applyFont="1" applyFill="1" applyBorder="1" applyAlignment="1">
      <alignment horizontal="center" vertical="center"/>
    </xf>
    <xf numFmtId="3" fontId="11" fillId="8" borderId="14" xfId="1" applyNumberFormat="1" applyFont="1" applyFill="1" applyBorder="1" applyAlignment="1">
      <alignment horizontal="center" vertical="center"/>
    </xf>
    <xf numFmtId="3" fontId="11" fillId="8" borderId="15" xfId="1" applyNumberFormat="1" applyFont="1" applyFill="1" applyBorder="1" applyAlignment="1">
      <alignment horizontal="center" vertical="center"/>
    </xf>
    <xf numFmtId="3" fontId="11" fillId="8" borderId="16" xfId="1" applyNumberFormat="1" applyFont="1" applyFill="1" applyBorder="1" applyAlignment="1">
      <alignment horizontal="center" vertical="center"/>
    </xf>
    <xf numFmtId="3" fontId="11" fillId="8" borderId="17" xfId="1" applyNumberFormat="1" applyFont="1" applyFill="1" applyBorder="1" applyAlignment="1">
      <alignment horizontal="center" vertical="center"/>
    </xf>
    <xf numFmtId="3" fontId="11" fillId="8" borderId="18" xfId="1" applyNumberFormat="1" applyFont="1" applyFill="1" applyBorder="1" applyAlignment="1">
      <alignment horizontal="center" vertical="center"/>
    </xf>
    <xf numFmtId="3" fontId="9" fillId="8" borderId="13" xfId="1" applyNumberFormat="1" applyFont="1" applyFill="1" applyBorder="1" applyAlignment="1">
      <alignment horizontal="center" vertical="center"/>
    </xf>
    <xf numFmtId="3" fontId="9" fillId="8" borderId="14" xfId="1" applyNumberFormat="1" applyFont="1" applyFill="1" applyBorder="1" applyAlignment="1">
      <alignment horizontal="center" vertical="center"/>
    </xf>
    <xf numFmtId="3" fontId="9" fillId="8" borderId="15" xfId="1" applyNumberFormat="1" applyFont="1" applyFill="1" applyBorder="1" applyAlignment="1">
      <alignment horizontal="center" vertical="center"/>
    </xf>
    <xf numFmtId="3" fontId="9" fillId="8" borderId="16" xfId="1" applyNumberFormat="1" applyFont="1" applyFill="1" applyBorder="1" applyAlignment="1">
      <alignment horizontal="center" vertical="center"/>
    </xf>
    <xf numFmtId="3" fontId="9" fillId="8" borderId="17" xfId="1" applyNumberFormat="1" applyFont="1" applyFill="1" applyBorder="1" applyAlignment="1">
      <alignment horizontal="center" vertical="center"/>
    </xf>
    <xf numFmtId="3" fontId="9" fillId="8" borderId="18" xfId="1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2" fontId="8" fillId="5" borderId="13" xfId="0" applyNumberFormat="1" applyFont="1" applyFill="1" applyBorder="1" applyAlignment="1">
      <alignment horizontal="center" vertical="center"/>
    </xf>
    <xf numFmtId="2" fontId="8" fillId="5" borderId="14" xfId="0" applyNumberFormat="1" applyFont="1" applyFill="1" applyBorder="1" applyAlignment="1">
      <alignment horizontal="center" vertical="center"/>
    </xf>
    <xf numFmtId="2" fontId="8" fillId="5" borderId="15" xfId="0" applyNumberFormat="1" applyFont="1" applyFill="1" applyBorder="1" applyAlignment="1">
      <alignment horizontal="center" vertical="center"/>
    </xf>
    <xf numFmtId="2" fontId="8" fillId="5" borderId="16" xfId="0" applyNumberFormat="1" applyFont="1" applyFill="1" applyBorder="1" applyAlignment="1">
      <alignment horizontal="center" vertical="center"/>
    </xf>
    <xf numFmtId="2" fontId="8" fillId="5" borderId="17" xfId="0" applyNumberFormat="1" applyFont="1" applyFill="1" applyBorder="1" applyAlignment="1">
      <alignment horizontal="center" vertical="center"/>
    </xf>
    <xf numFmtId="2" fontId="8" fillId="5" borderId="18" xfId="0" applyNumberFormat="1" applyFont="1" applyFill="1" applyBorder="1" applyAlignment="1">
      <alignment horizontal="center" vertical="center"/>
    </xf>
    <xf numFmtId="164" fontId="4" fillId="2" borderId="0" xfId="1" applyNumberFormat="1" applyFont="1" applyFill="1" applyAlignment="1">
      <alignment horizontal="center"/>
    </xf>
    <xf numFmtId="164" fontId="3" fillId="2" borderId="0" xfId="1" applyNumberFormat="1" applyFont="1" applyFill="1" applyBorder="1" applyAlignment="1">
      <alignment horizontal="center"/>
    </xf>
    <xf numFmtId="164" fontId="8" fillId="5" borderId="1" xfId="1" applyNumberFormat="1" applyFont="1" applyFill="1" applyBorder="1" applyAlignment="1">
      <alignment horizontal="center" vertical="center"/>
    </xf>
    <xf numFmtId="164" fontId="10" fillId="5" borderId="11" xfId="1" applyNumberFormat="1" applyFont="1" applyFill="1" applyBorder="1" applyAlignment="1">
      <alignment horizontal="center" vertical="center"/>
    </xf>
    <xf numFmtId="164" fontId="10" fillId="5" borderId="12" xfId="1" applyNumberFormat="1" applyFont="1" applyFill="1" applyBorder="1" applyAlignment="1">
      <alignment horizontal="center" vertical="center"/>
    </xf>
    <xf numFmtId="164" fontId="10" fillId="5" borderId="10" xfId="1" applyNumberFormat="1" applyFont="1" applyFill="1" applyBorder="1" applyAlignment="1">
      <alignment horizontal="center" vertical="center"/>
    </xf>
    <xf numFmtId="164" fontId="8" fillId="5" borderId="11" xfId="1" applyNumberFormat="1" applyFont="1" applyFill="1" applyBorder="1" applyAlignment="1">
      <alignment horizontal="center" vertical="center" wrapText="1"/>
    </xf>
    <xf numFmtId="164" fontId="8" fillId="5" borderId="12" xfId="1" applyNumberFormat="1" applyFont="1" applyFill="1" applyBorder="1" applyAlignment="1">
      <alignment horizontal="center" vertical="center" wrapText="1"/>
    </xf>
    <xf numFmtId="164" fontId="8" fillId="5" borderId="10" xfId="1" applyNumberFormat="1" applyFont="1" applyFill="1" applyBorder="1" applyAlignment="1">
      <alignment horizontal="center" vertical="center" wrapText="1"/>
    </xf>
    <xf numFmtId="3" fontId="8" fillId="5" borderId="13" xfId="0" applyNumberFormat="1" applyFont="1" applyFill="1" applyBorder="1" applyAlignment="1">
      <alignment horizontal="center" vertical="center"/>
    </xf>
    <xf numFmtId="3" fontId="8" fillId="5" borderId="14" xfId="0" applyNumberFormat="1" applyFont="1" applyFill="1" applyBorder="1" applyAlignment="1">
      <alignment horizontal="center" vertical="center"/>
    </xf>
    <xf numFmtId="3" fontId="8" fillId="5" borderId="15" xfId="0" applyNumberFormat="1" applyFont="1" applyFill="1" applyBorder="1" applyAlignment="1">
      <alignment horizontal="center" vertical="center"/>
    </xf>
    <xf numFmtId="3" fontId="8" fillId="5" borderId="16" xfId="0" applyNumberFormat="1" applyFont="1" applyFill="1" applyBorder="1" applyAlignment="1">
      <alignment horizontal="center" vertical="center"/>
    </xf>
    <xf numFmtId="3" fontId="8" fillId="5" borderId="17" xfId="0" applyNumberFormat="1" applyFont="1" applyFill="1" applyBorder="1" applyAlignment="1">
      <alignment horizontal="center" vertical="center"/>
    </xf>
    <xf numFmtId="3" fontId="8" fillId="5" borderId="18" xfId="0" applyNumberFormat="1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14" fontId="8" fillId="5" borderId="11" xfId="1" applyNumberFormat="1" applyFont="1" applyFill="1" applyBorder="1" applyAlignment="1">
      <alignment horizontal="center" vertical="center" wrapText="1"/>
    </xf>
    <xf numFmtId="14" fontId="8" fillId="5" borderId="12" xfId="1" applyNumberFormat="1" applyFont="1" applyFill="1" applyBorder="1" applyAlignment="1">
      <alignment horizontal="center" vertical="center" wrapText="1"/>
    </xf>
    <xf numFmtId="14" fontId="8" fillId="5" borderId="10" xfId="1" applyNumberFormat="1" applyFont="1" applyFill="1" applyBorder="1" applyAlignment="1">
      <alignment horizontal="center" vertical="center" wrapText="1"/>
    </xf>
    <xf numFmtId="164" fontId="11" fillId="5" borderId="1" xfId="1" applyNumberFormat="1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/>
    </xf>
    <xf numFmtId="164" fontId="8" fillId="5" borderId="11" xfId="1" applyNumberFormat="1" applyFont="1" applyFill="1" applyBorder="1" applyAlignment="1">
      <alignment horizontal="center" vertical="center"/>
    </xf>
    <xf numFmtId="164" fontId="8" fillId="5" borderId="12" xfId="1" applyNumberFormat="1" applyFont="1" applyFill="1" applyBorder="1" applyAlignment="1">
      <alignment horizontal="center" vertical="center"/>
    </xf>
    <xf numFmtId="164" fontId="8" fillId="5" borderId="10" xfId="1" applyNumberFormat="1" applyFont="1" applyFill="1" applyBorder="1" applyAlignment="1">
      <alignment horizontal="center" vertical="center"/>
    </xf>
    <xf numFmtId="2" fontId="8" fillId="5" borderId="11" xfId="1" applyNumberFormat="1" applyFont="1" applyFill="1" applyBorder="1" applyAlignment="1">
      <alignment horizontal="center" vertical="center" wrapText="1"/>
    </xf>
    <xf numFmtId="2" fontId="8" fillId="5" borderId="12" xfId="1" applyNumberFormat="1" applyFont="1" applyFill="1" applyBorder="1" applyAlignment="1">
      <alignment horizontal="center" vertical="center" wrapText="1"/>
    </xf>
    <xf numFmtId="2" fontId="8" fillId="5" borderId="10" xfId="1" applyNumberFormat="1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</cellXfs>
  <cellStyles count="23">
    <cellStyle name="??" xfId="3"/>
    <cellStyle name="?? [0.00]_PRODUCT DETAIL Q1" xfId="4"/>
    <cellStyle name="?? [0]" xfId="5"/>
    <cellStyle name="???? [0.00]_PRODUCT DETAIL Q1" xfId="6"/>
    <cellStyle name="????_PRODUCT DETAIL Q1" xfId="7"/>
    <cellStyle name="???_HOBONG" xfId="8"/>
    <cellStyle name="??_(????)??????" xfId="9"/>
    <cellStyle name="_DS BHXH -07" xfId="10"/>
    <cellStyle name="_NHAN QI.2011" xfId="11"/>
    <cellStyle name="32B12" xfId="12"/>
    <cellStyle name="Comma" xfId="1" builtinId="3"/>
    <cellStyle name="Comma 11 2 2" xfId="13"/>
    <cellStyle name="Comma 14" xfId="14"/>
    <cellStyle name="Comma 3" xfId="15"/>
    <cellStyle name="Comma0" xfId="16"/>
    <cellStyle name="Currency0" xfId="17"/>
    <cellStyle name="Date" xfId="18"/>
    <cellStyle name="Fixed" xfId="19"/>
    <cellStyle name="Normal" xfId="0" builtinId="0"/>
    <cellStyle name="Normal 2" xfId="2"/>
    <cellStyle name="Normal 3" xfId="20"/>
    <cellStyle name="Normal 4 2 2" xfId="21"/>
    <cellStyle name="Style 1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313764</xdr:colOff>
      <xdr:row>0</xdr:row>
      <xdr:rowOff>11205</xdr:rowOff>
    </xdr:from>
    <xdr:to>
      <xdr:col>1</xdr:col>
      <xdr:colOff>885264</xdr:colOff>
      <xdr:row>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764" y="11205"/>
          <a:ext cx="974912" cy="347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77"/>
  <sheetViews>
    <sheetView tabSelected="1" zoomScale="70" zoomScaleNormal="70" zoomScaleSheetLayoutView="70" workbookViewId="0">
      <pane xSplit="6" ySplit="8" topLeftCell="G9" activePane="bottomRight" state="frozen"/>
      <selection pane="topRight" activeCell="I1" sqref="I1"/>
      <selection pane="bottomLeft" activeCell="A14" sqref="A14"/>
      <selection pane="bottomRight" activeCell="AK3" sqref="AK3"/>
    </sheetView>
  </sheetViews>
  <sheetFormatPr defaultColWidth="8.7109375" defaultRowHeight="15.75"/>
  <cols>
    <col min="1" max="1" width="6" style="13" customWidth="1"/>
    <col min="2" max="2" width="30.7109375" style="14" customWidth="1"/>
    <col min="3" max="3" width="11.28515625" style="14" customWidth="1"/>
    <col min="4" max="4" width="16.7109375" style="19" customWidth="1"/>
    <col min="5" max="5" width="16.7109375" style="3" customWidth="1"/>
    <col min="6" max="6" width="11.140625" style="3" customWidth="1"/>
    <col min="7" max="9" width="16.7109375" style="22" customWidth="1"/>
    <col min="10" max="10" width="16.7109375" style="28" customWidth="1"/>
    <col min="11" max="11" width="16.7109375" style="29" customWidth="1"/>
    <col min="12" max="12" width="16.7109375" style="20" customWidth="1"/>
    <col min="13" max="13" width="16.7109375" style="3" customWidth="1"/>
    <col min="14" max="15" width="16.7109375" style="20" customWidth="1"/>
    <col min="16" max="17" width="16.7109375" style="3" customWidth="1"/>
    <col min="18" max="18" width="16.7109375" style="20" customWidth="1"/>
    <col min="19" max="19" width="16.7109375" style="16" customWidth="1"/>
    <col min="20" max="25" width="16.7109375" style="3" customWidth="1"/>
    <col min="26" max="26" width="9.7109375" style="3" customWidth="1"/>
    <col min="27" max="27" width="9.7109375" style="20" customWidth="1"/>
    <col min="28" max="28" width="16.7109375" style="3" customWidth="1"/>
    <col min="29" max="29" width="10.5703125" style="20" customWidth="1"/>
    <col min="30" max="30" width="11.28515625" style="20" customWidth="1"/>
    <col min="31" max="31" width="14.7109375" style="20" customWidth="1"/>
    <col min="32" max="33" width="10.7109375" style="20" customWidth="1"/>
    <col min="34" max="34" width="16.7109375" style="20" customWidth="1"/>
    <col min="35" max="36" width="10.7109375" style="20" customWidth="1"/>
    <col min="37" max="37" width="14.7109375" style="20" customWidth="1"/>
    <col min="38" max="39" width="10.7109375" style="20" customWidth="1"/>
    <col min="40" max="40" width="14.7109375" style="20" customWidth="1"/>
    <col min="41" max="42" width="10.7109375" style="20" customWidth="1"/>
    <col min="43" max="43" width="14.7109375" style="20" customWidth="1"/>
    <col min="44" max="45" width="10.7109375" style="20" customWidth="1"/>
    <col min="46" max="46" width="14.7109375" style="20" customWidth="1"/>
    <col min="47" max="48" width="10.7109375" style="20" customWidth="1"/>
    <col min="49" max="49" width="14.7109375" style="20" customWidth="1"/>
    <col min="50" max="51" width="10.7109375" style="20" customWidth="1"/>
    <col min="52" max="52" width="14.7109375" style="20" customWidth="1"/>
    <col min="53" max="54" width="10.7109375" style="20" customWidth="1"/>
    <col min="55" max="55" width="14.7109375" style="20" customWidth="1"/>
    <col min="56" max="57" width="10.7109375" style="20" customWidth="1"/>
    <col min="58" max="58" width="14.7109375" style="20" customWidth="1"/>
    <col min="59" max="60" width="10.7109375" style="20" customWidth="1"/>
    <col min="61" max="61" width="14.7109375" style="20" customWidth="1"/>
    <col min="62" max="63" width="10.7109375" style="20" customWidth="1"/>
    <col min="64" max="64" width="14.7109375" style="20" customWidth="1"/>
    <col min="65" max="66" width="10.7109375" style="20" customWidth="1"/>
    <col min="67" max="67" width="14.7109375" style="20" customWidth="1"/>
    <col min="68" max="69" width="10.7109375" style="20" hidden="1" customWidth="1"/>
    <col min="70" max="70" width="15.7109375" style="20" hidden="1" customWidth="1"/>
    <col min="71" max="71" width="10.7109375" style="3" customWidth="1"/>
    <col min="72" max="73" width="10.7109375" style="20" customWidth="1"/>
    <col min="74" max="74" width="14.7109375" style="20" customWidth="1"/>
    <col min="75" max="76" width="10.7109375" style="20" customWidth="1"/>
    <col min="77" max="77" width="14.7109375" style="20" customWidth="1"/>
    <col min="78" max="79" width="10.7109375" style="20" customWidth="1"/>
    <col min="80" max="80" width="14.7109375" style="20" customWidth="1"/>
    <col min="81" max="82" width="10.7109375" style="20" customWidth="1"/>
    <col min="83" max="83" width="14.7109375" style="20" customWidth="1"/>
    <col min="84" max="85" width="10.7109375" style="20" customWidth="1"/>
    <col min="86" max="86" width="14.7109375" style="20" customWidth="1"/>
    <col min="87" max="88" width="10.7109375" style="20" customWidth="1"/>
    <col min="89" max="89" width="14.7109375" style="20" customWidth="1"/>
    <col min="90" max="91" width="10.7109375" style="20" customWidth="1"/>
    <col min="92" max="92" width="14.7109375" style="20" customWidth="1"/>
    <col min="93" max="94" width="10.7109375" style="20" customWidth="1"/>
    <col min="95" max="95" width="14.7109375" style="20" customWidth="1"/>
    <col min="96" max="97" width="10.7109375" style="20" customWidth="1"/>
    <col min="98" max="98" width="14.7109375" style="20" customWidth="1"/>
    <col min="99" max="100" width="10.7109375" style="20" customWidth="1"/>
    <col min="101" max="101" width="14.7109375" style="20" customWidth="1"/>
    <col min="102" max="103" width="10.7109375" style="20" customWidth="1"/>
    <col min="104" max="104" width="14.7109375" style="20" customWidth="1"/>
    <col min="105" max="106" width="10.7109375" style="20" customWidth="1"/>
    <col min="107" max="107" width="14.7109375" style="20" customWidth="1"/>
    <col min="108" max="109" width="10.7109375" style="20" hidden="1" customWidth="1"/>
    <col min="110" max="110" width="14.7109375" style="20" hidden="1" customWidth="1"/>
    <col min="111" max="16384" width="8.7109375" style="3"/>
  </cols>
  <sheetData>
    <row r="1" spans="1:110" ht="28.5" customHeight="1">
      <c r="A1" s="1"/>
      <c r="B1" s="177" t="s">
        <v>328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8"/>
      <c r="AA1" s="178"/>
      <c r="AB1" s="178"/>
    </row>
    <row r="2" spans="1:110" ht="18.75" customHeight="1">
      <c r="A2" s="5" t="s">
        <v>34</v>
      </c>
      <c r="B2" s="6"/>
      <c r="C2" s="6"/>
      <c r="D2" s="17"/>
      <c r="E2" s="2"/>
      <c r="F2" s="2"/>
      <c r="G2" s="21"/>
      <c r="H2" s="21"/>
      <c r="I2" s="21"/>
      <c r="J2" s="26"/>
      <c r="K2" s="27"/>
      <c r="L2" s="27"/>
      <c r="M2" s="2"/>
      <c r="N2" s="27"/>
      <c r="O2" s="124"/>
      <c r="P2" s="4"/>
      <c r="Q2" s="7"/>
      <c r="R2" s="124"/>
      <c r="S2" s="15"/>
      <c r="T2" s="4"/>
      <c r="U2" s="4"/>
      <c r="V2" s="4"/>
      <c r="W2" s="4"/>
      <c r="X2" s="4"/>
      <c r="Y2" s="4"/>
      <c r="Z2" s="8"/>
      <c r="AA2" s="131"/>
      <c r="AB2" s="9"/>
    </row>
    <row r="3" spans="1:110" ht="24.95" customHeight="1">
      <c r="A3" s="1"/>
      <c r="B3" s="10"/>
      <c r="C3" s="10"/>
      <c r="D3" s="18"/>
      <c r="E3" s="11"/>
      <c r="F3" s="11"/>
      <c r="G3" s="21"/>
      <c r="H3" s="21"/>
      <c r="I3" s="21"/>
      <c r="J3" s="26"/>
      <c r="K3" s="27"/>
      <c r="L3" s="27"/>
      <c r="M3" s="2"/>
      <c r="N3" s="27"/>
      <c r="O3" s="27"/>
      <c r="P3" s="4"/>
      <c r="Q3" s="4"/>
      <c r="R3" s="124"/>
      <c r="S3" s="24"/>
      <c r="T3" s="4"/>
      <c r="U3" s="4"/>
      <c r="V3" s="4"/>
      <c r="W3" s="4"/>
      <c r="X3" s="4"/>
      <c r="Y3" s="4"/>
      <c r="Z3" s="4"/>
      <c r="AA3" s="124"/>
      <c r="AB3" s="2"/>
      <c r="BS3" s="13"/>
    </row>
    <row r="4" spans="1:110" ht="33" customHeight="1">
      <c r="A4" s="204" t="s">
        <v>0</v>
      </c>
      <c r="B4" s="180" t="s">
        <v>1</v>
      </c>
      <c r="C4" s="183" t="s">
        <v>2</v>
      </c>
      <c r="D4" s="207" t="s">
        <v>3</v>
      </c>
      <c r="E4" s="204" t="s">
        <v>4</v>
      </c>
      <c r="F4" s="204" t="s">
        <v>5</v>
      </c>
      <c r="G4" s="186" t="s">
        <v>6</v>
      </c>
      <c r="H4" s="187"/>
      <c r="I4" s="188"/>
      <c r="J4" s="179" t="s">
        <v>7</v>
      </c>
      <c r="K4" s="179"/>
      <c r="L4" s="179"/>
      <c r="M4" s="179"/>
      <c r="N4" s="179"/>
      <c r="O4" s="179"/>
      <c r="P4" s="192" t="s">
        <v>8</v>
      </c>
      <c r="Q4" s="193"/>
      <c r="R4" s="194"/>
      <c r="S4" s="198" t="s">
        <v>9</v>
      </c>
      <c r="T4" s="201" t="s">
        <v>10</v>
      </c>
      <c r="U4" s="201"/>
      <c r="V4" s="201"/>
      <c r="W4" s="201"/>
      <c r="X4" s="201"/>
      <c r="Y4" s="201"/>
      <c r="Z4" s="171" t="s">
        <v>327</v>
      </c>
      <c r="AA4" s="172"/>
      <c r="AB4" s="173"/>
      <c r="AC4" s="154" t="s">
        <v>318</v>
      </c>
      <c r="AD4" s="154"/>
      <c r="AE4" s="155"/>
      <c r="AF4" s="164" t="s">
        <v>35</v>
      </c>
      <c r="AG4" s="165"/>
      <c r="AH4" s="166"/>
      <c r="AI4" s="158" t="s">
        <v>36</v>
      </c>
      <c r="AJ4" s="159"/>
      <c r="AK4" s="160"/>
      <c r="AL4" s="158" t="s">
        <v>37</v>
      </c>
      <c r="AM4" s="159"/>
      <c r="AN4" s="160"/>
      <c r="AO4" s="158" t="s">
        <v>38</v>
      </c>
      <c r="AP4" s="159"/>
      <c r="AQ4" s="160"/>
      <c r="AR4" s="158" t="s">
        <v>39</v>
      </c>
      <c r="AS4" s="159"/>
      <c r="AT4" s="160"/>
      <c r="AU4" s="158" t="s">
        <v>47</v>
      </c>
      <c r="AV4" s="159"/>
      <c r="AW4" s="160"/>
      <c r="AX4" s="158" t="s">
        <v>46</v>
      </c>
      <c r="AY4" s="159"/>
      <c r="AZ4" s="160"/>
      <c r="BA4" s="158" t="s">
        <v>40</v>
      </c>
      <c r="BB4" s="159"/>
      <c r="BC4" s="160"/>
      <c r="BD4" s="158" t="s">
        <v>45</v>
      </c>
      <c r="BE4" s="159"/>
      <c r="BF4" s="160"/>
      <c r="BG4" s="158" t="s">
        <v>42</v>
      </c>
      <c r="BH4" s="159"/>
      <c r="BI4" s="160"/>
      <c r="BJ4" s="158" t="s">
        <v>41</v>
      </c>
      <c r="BK4" s="159"/>
      <c r="BL4" s="160"/>
      <c r="BM4" s="158" t="s">
        <v>43</v>
      </c>
      <c r="BN4" s="159"/>
      <c r="BO4" s="160"/>
      <c r="BP4" s="158" t="s">
        <v>44</v>
      </c>
      <c r="BQ4" s="159"/>
      <c r="BR4" s="160"/>
      <c r="BS4" s="170"/>
      <c r="BT4" s="164" t="s">
        <v>48</v>
      </c>
      <c r="BU4" s="165"/>
      <c r="BV4" s="166"/>
      <c r="BW4" s="158" t="s">
        <v>36</v>
      </c>
      <c r="BX4" s="159"/>
      <c r="BY4" s="160"/>
      <c r="BZ4" s="158" t="s">
        <v>37</v>
      </c>
      <c r="CA4" s="159"/>
      <c r="CB4" s="160"/>
      <c r="CC4" s="158" t="s">
        <v>38</v>
      </c>
      <c r="CD4" s="159"/>
      <c r="CE4" s="160"/>
      <c r="CF4" s="158" t="s">
        <v>39</v>
      </c>
      <c r="CG4" s="159"/>
      <c r="CH4" s="160"/>
      <c r="CI4" s="158" t="s">
        <v>47</v>
      </c>
      <c r="CJ4" s="159"/>
      <c r="CK4" s="160"/>
      <c r="CL4" s="158" t="s">
        <v>46</v>
      </c>
      <c r="CM4" s="159"/>
      <c r="CN4" s="160"/>
      <c r="CO4" s="158" t="s">
        <v>40</v>
      </c>
      <c r="CP4" s="159"/>
      <c r="CQ4" s="160"/>
      <c r="CR4" s="158" t="s">
        <v>45</v>
      </c>
      <c r="CS4" s="159"/>
      <c r="CT4" s="160"/>
      <c r="CU4" s="158" t="s">
        <v>42</v>
      </c>
      <c r="CV4" s="159"/>
      <c r="CW4" s="160"/>
      <c r="CX4" s="153" t="s">
        <v>41</v>
      </c>
      <c r="CY4" s="153"/>
      <c r="CZ4" s="153"/>
      <c r="DA4" s="153" t="s">
        <v>43</v>
      </c>
      <c r="DB4" s="153"/>
      <c r="DC4" s="153"/>
      <c r="DD4" s="153" t="s">
        <v>44</v>
      </c>
      <c r="DE4" s="153"/>
      <c r="DF4" s="153"/>
    </row>
    <row r="5" spans="1:110" ht="38.25" customHeight="1">
      <c r="A5" s="205"/>
      <c r="B5" s="181"/>
      <c r="C5" s="184"/>
      <c r="D5" s="208"/>
      <c r="E5" s="205"/>
      <c r="F5" s="205"/>
      <c r="G5" s="189"/>
      <c r="H5" s="190"/>
      <c r="I5" s="191"/>
      <c r="J5" s="179" t="s">
        <v>316</v>
      </c>
      <c r="K5" s="179"/>
      <c r="L5" s="179"/>
      <c r="M5" s="179" t="s">
        <v>317</v>
      </c>
      <c r="N5" s="179"/>
      <c r="O5" s="179"/>
      <c r="P5" s="195"/>
      <c r="Q5" s="196"/>
      <c r="R5" s="197"/>
      <c r="S5" s="199"/>
      <c r="T5" s="201" t="s">
        <v>316</v>
      </c>
      <c r="U5" s="201"/>
      <c r="V5" s="201"/>
      <c r="W5" s="201" t="s">
        <v>317</v>
      </c>
      <c r="X5" s="201"/>
      <c r="Y5" s="201"/>
      <c r="Z5" s="174"/>
      <c r="AA5" s="175"/>
      <c r="AB5" s="176"/>
      <c r="AC5" s="156"/>
      <c r="AD5" s="156"/>
      <c r="AE5" s="157"/>
      <c r="AF5" s="167"/>
      <c r="AG5" s="168"/>
      <c r="AH5" s="169"/>
      <c r="AI5" s="161"/>
      <c r="AJ5" s="162"/>
      <c r="AK5" s="163"/>
      <c r="AL5" s="161"/>
      <c r="AM5" s="162"/>
      <c r="AN5" s="163"/>
      <c r="AO5" s="161"/>
      <c r="AP5" s="162"/>
      <c r="AQ5" s="163"/>
      <c r="AR5" s="161"/>
      <c r="AS5" s="162"/>
      <c r="AT5" s="163"/>
      <c r="AU5" s="161"/>
      <c r="AV5" s="162"/>
      <c r="AW5" s="163"/>
      <c r="AX5" s="161"/>
      <c r="AY5" s="162"/>
      <c r="AZ5" s="163"/>
      <c r="BA5" s="161"/>
      <c r="BB5" s="162"/>
      <c r="BC5" s="163"/>
      <c r="BD5" s="161"/>
      <c r="BE5" s="162"/>
      <c r="BF5" s="163"/>
      <c r="BG5" s="161"/>
      <c r="BH5" s="162"/>
      <c r="BI5" s="163"/>
      <c r="BJ5" s="161"/>
      <c r="BK5" s="162"/>
      <c r="BL5" s="163"/>
      <c r="BM5" s="161"/>
      <c r="BN5" s="162"/>
      <c r="BO5" s="163"/>
      <c r="BP5" s="161"/>
      <c r="BQ5" s="162"/>
      <c r="BR5" s="163"/>
      <c r="BS5" s="170"/>
      <c r="BT5" s="167"/>
      <c r="BU5" s="168"/>
      <c r="BV5" s="169"/>
      <c r="BW5" s="161"/>
      <c r="BX5" s="162"/>
      <c r="BY5" s="163"/>
      <c r="BZ5" s="161"/>
      <c r="CA5" s="162"/>
      <c r="CB5" s="163"/>
      <c r="CC5" s="161"/>
      <c r="CD5" s="162"/>
      <c r="CE5" s="163"/>
      <c r="CF5" s="161"/>
      <c r="CG5" s="162"/>
      <c r="CH5" s="163"/>
      <c r="CI5" s="161"/>
      <c r="CJ5" s="162"/>
      <c r="CK5" s="163"/>
      <c r="CL5" s="161"/>
      <c r="CM5" s="162"/>
      <c r="CN5" s="163"/>
      <c r="CO5" s="161"/>
      <c r="CP5" s="162"/>
      <c r="CQ5" s="163"/>
      <c r="CR5" s="161"/>
      <c r="CS5" s="162"/>
      <c r="CT5" s="163"/>
      <c r="CU5" s="161"/>
      <c r="CV5" s="162"/>
      <c r="CW5" s="163"/>
      <c r="CX5" s="153"/>
      <c r="CY5" s="153"/>
      <c r="CZ5" s="153"/>
      <c r="DA5" s="153"/>
      <c r="DB5" s="153"/>
      <c r="DC5" s="153"/>
      <c r="DD5" s="153"/>
      <c r="DE5" s="153"/>
      <c r="DF5" s="153"/>
    </row>
    <row r="6" spans="1:110" ht="51" customHeight="1">
      <c r="A6" s="206"/>
      <c r="B6" s="182"/>
      <c r="C6" s="185"/>
      <c r="D6" s="209"/>
      <c r="E6" s="206"/>
      <c r="F6" s="206"/>
      <c r="G6" s="23" t="s">
        <v>11</v>
      </c>
      <c r="H6" s="23" t="s">
        <v>12</v>
      </c>
      <c r="I6" s="23" t="s">
        <v>13</v>
      </c>
      <c r="J6" s="23" t="s">
        <v>11</v>
      </c>
      <c r="K6" s="120" t="s">
        <v>14</v>
      </c>
      <c r="L6" s="120" t="s">
        <v>15</v>
      </c>
      <c r="M6" s="123" t="s">
        <v>11</v>
      </c>
      <c r="N6" s="23" t="s">
        <v>12</v>
      </c>
      <c r="O6" s="23" t="s">
        <v>13</v>
      </c>
      <c r="P6" s="152" t="s">
        <v>11</v>
      </c>
      <c r="Q6" s="126" t="s">
        <v>12</v>
      </c>
      <c r="R6" s="23" t="s">
        <v>13</v>
      </c>
      <c r="S6" s="200"/>
      <c r="T6" s="126" t="s">
        <v>11</v>
      </c>
      <c r="U6" s="126" t="s">
        <v>12</v>
      </c>
      <c r="V6" s="126" t="s">
        <v>13</v>
      </c>
      <c r="W6" s="126" t="s">
        <v>11</v>
      </c>
      <c r="X6" s="126" t="s">
        <v>12</v>
      </c>
      <c r="Y6" s="126" t="s">
        <v>13</v>
      </c>
      <c r="Z6" s="123" t="s">
        <v>11</v>
      </c>
      <c r="AA6" s="126" t="s">
        <v>12</v>
      </c>
      <c r="AB6" s="126" t="s">
        <v>13</v>
      </c>
      <c r="AC6" s="127" t="s">
        <v>319</v>
      </c>
      <c r="AD6" s="127" t="s">
        <v>12</v>
      </c>
      <c r="AE6" s="127" t="s">
        <v>13</v>
      </c>
      <c r="AF6" s="121" t="s">
        <v>11</v>
      </c>
      <c r="AG6" s="122" t="s">
        <v>12</v>
      </c>
      <c r="AH6" s="121" t="s">
        <v>13</v>
      </c>
      <c r="AI6" s="121" t="s">
        <v>11</v>
      </c>
      <c r="AJ6" s="122" t="s">
        <v>12</v>
      </c>
      <c r="AK6" s="121" t="s">
        <v>13</v>
      </c>
      <c r="AL6" s="121" t="s">
        <v>11</v>
      </c>
      <c r="AM6" s="122" t="s">
        <v>12</v>
      </c>
      <c r="AN6" s="121" t="s">
        <v>13</v>
      </c>
      <c r="AO6" s="121" t="s">
        <v>11</v>
      </c>
      <c r="AP6" s="122" t="s">
        <v>12</v>
      </c>
      <c r="AQ6" s="121" t="s">
        <v>13</v>
      </c>
      <c r="AR6" s="121" t="s">
        <v>11</v>
      </c>
      <c r="AS6" s="122" t="s">
        <v>12</v>
      </c>
      <c r="AT6" s="121" t="s">
        <v>13</v>
      </c>
      <c r="AU6" s="121" t="s">
        <v>11</v>
      </c>
      <c r="AV6" s="122" t="s">
        <v>12</v>
      </c>
      <c r="AW6" s="121" t="s">
        <v>13</v>
      </c>
      <c r="AX6" s="121" t="s">
        <v>11</v>
      </c>
      <c r="AY6" s="122" t="s">
        <v>12</v>
      </c>
      <c r="AZ6" s="121" t="s">
        <v>13</v>
      </c>
      <c r="BA6" s="121" t="s">
        <v>11</v>
      </c>
      <c r="BB6" s="122" t="s">
        <v>12</v>
      </c>
      <c r="BC6" s="121" t="s">
        <v>13</v>
      </c>
      <c r="BD6" s="121" t="s">
        <v>11</v>
      </c>
      <c r="BE6" s="122" t="s">
        <v>12</v>
      </c>
      <c r="BF6" s="121" t="s">
        <v>13</v>
      </c>
      <c r="BG6" s="121" t="s">
        <v>11</v>
      </c>
      <c r="BH6" s="122" t="s">
        <v>12</v>
      </c>
      <c r="BI6" s="121" t="s">
        <v>13</v>
      </c>
      <c r="BJ6" s="121" t="s">
        <v>11</v>
      </c>
      <c r="BK6" s="122" t="s">
        <v>12</v>
      </c>
      <c r="BL6" s="121" t="s">
        <v>13</v>
      </c>
      <c r="BM6" s="121" t="s">
        <v>11</v>
      </c>
      <c r="BN6" s="122" t="s">
        <v>12</v>
      </c>
      <c r="BO6" s="121" t="s">
        <v>13</v>
      </c>
      <c r="BP6" s="121" t="s">
        <v>11</v>
      </c>
      <c r="BQ6" s="122" t="s">
        <v>12</v>
      </c>
      <c r="BR6" s="121" t="s">
        <v>13</v>
      </c>
      <c r="BS6" s="170"/>
      <c r="BT6" s="121" t="s">
        <v>11</v>
      </c>
      <c r="BU6" s="122" t="s">
        <v>12</v>
      </c>
      <c r="BV6" s="121" t="s">
        <v>13</v>
      </c>
      <c r="BW6" s="121" t="s">
        <v>11</v>
      </c>
      <c r="BX6" s="122" t="s">
        <v>12</v>
      </c>
      <c r="BY6" s="121" t="s">
        <v>13</v>
      </c>
      <c r="BZ6" s="121" t="s">
        <v>11</v>
      </c>
      <c r="CA6" s="122" t="s">
        <v>12</v>
      </c>
      <c r="CB6" s="121" t="s">
        <v>13</v>
      </c>
      <c r="CC6" s="121" t="s">
        <v>11</v>
      </c>
      <c r="CD6" s="122" t="s">
        <v>12</v>
      </c>
      <c r="CE6" s="121" t="s">
        <v>13</v>
      </c>
      <c r="CF6" s="121" t="s">
        <v>11</v>
      </c>
      <c r="CG6" s="122" t="s">
        <v>12</v>
      </c>
      <c r="CH6" s="121" t="s">
        <v>13</v>
      </c>
      <c r="CI6" s="121" t="s">
        <v>11</v>
      </c>
      <c r="CJ6" s="122" t="s">
        <v>12</v>
      </c>
      <c r="CK6" s="121" t="s">
        <v>13</v>
      </c>
      <c r="CL6" s="121" t="s">
        <v>11</v>
      </c>
      <c r="CM6" s="122" t="s">
        <v>12</v>
      </c>
      <c r="CN6" s="121" t="s">
        <v>13</v>
      </c>
      <c r="CO6" s="121" t="s">
        <v>11</v>
      </c>
      <c r="CP6" s="122" t="s">
        <v>12</v>
      </c>
      <c r="CQ6" s="121" t="s">
        <v>13</v>
      </c>
      <c r="CR6" s="121" t="s">
        <v>11</v>
      </c>
      <c r="CS6" s="122" t="s">
        <v>12</v>
      </c>
      <c r="CT6" s="121" t="s">
        <v>13</v>
      </c>
      <c r="CU6" s="121" t="s">
        <v>11</v>
      </c>
      <c r="CV6" s="122" t="s">
        <v>12</v>
      </c>
      <c r="CW6" s="121" t="s">
        <v>13</v>
      </c>
      <c r="CX6" s="121" t="s">
        <v>11</v>
      </c>
      <c r="CY6" s="122" t="s">
        <v>12</v>
      </c>
      <c r="CZ6" s="121" t="s">
        <v>13</v>
      </c>
      <c r="DA6" s="121" t="s">
        <v>11</v>
      </c>
      <c r="DB6" s="122" t="s">
        <v>12</v>
      </c>
      <c r="DC6" s="121" t="s">
        <v>13</v>
      </c>
      <c r="DD6" s="121" t="s">
        <v>11</v>
      </c>
      <c r="DE6" s="122" t="s">
        <v>12</v>
      </c>
      <c r="DF6" s="121" t="s">
        <v>13</v>
      </c>
    </row>
    <row r="7" spans="1:110" s="12" customFormat="1" ht="24.95" customHeight="1">
      <c r="A7" s="106"/>
      <c r="B7" s="107"/>
      <c r="C7" s="108"/>
      <c r="D7" s="109"/>
      <c r="E7" s="110"/>
      <c r="F7" s="111"/>
      <c r="G7" s="112"/>
      <c r="H7" s="112"/>
      <c r="I7" s="112"/>
      <c r="J7" s="113"/>
      <c r="K7" s="113"/>
      <c r="L7" s="113"/>
      <c r="M7" s="114"/>
      <c r="N7" s="113"/>
      <c r="O7" s="113"/>
      <c r="P7" s="114"/>
      <c r="Q7" s="114"/>
      <c r="R7" s="113"/>
      <c r="S7" s="115"/>
      <c r="T7" s="114"/>
      <c r="U7" s="114"/>
      <c r="V7" s="114"/>
      <c r="W7" s="114"/>
      <c r="X7" s="114"/>
      <c r="Y7" s="114"/>
      <c r="Z7" s="116"/>
      <c r="AA7" s="113"/>
      <c r="AB7" s="117"/>
      <c r="AC7" s="113"/>
      <c r="AD7" s="113"/>
      <c r="AE7" s="113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70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18"/>
      <c r="CK7" s="118"/>
      <c r="CL7" s="118"/>
      <c r="CM7" s="118"/>
      <c r="CN7" s="118"/>
      <c r="CO7" s="118"/>
      <c r="CP7" s="118"/>
      <c r="CQ7" s="118"/>
      <c r="CR7" s="118"/>
      <c r="CS7" s="118"/>
      <c r="CT7" s="118"/>
      <c r="CU7" s="118"/>
      <c r="CV7" s="118"/>
      <c r="CW7" s="118"/>
      <c r="CX7" s="118"/>
      <c r="CY7" s="118"/>
      <c r="CZ7" s="118"/>
      <c r="DA7" s="118"/>
      <c r="DB7" s="118"/>
      <c r="DC7" s="118"/>
      <c r="DD7" s="118"/>
      <c r="DE7" s="118"/>
      <c r="DF7" s="119"/>
    </row>
    <row r="8" spans="1:110" ht="24.95" customHeight="1">
      <c r="A8" s="202" t="s">
        <v>16</v>
      </c>
      <c r="B8" s="203"/>
      <c r="C8" s="203"/>
      <c r="D8" s="203"/>
      <c r="E8" s="203"/>
      <c r="F8" s="203"/>
      <c r="G8" s="37"/>
      <c r="H8" s="38"/>
      <c r="I8" s="39">
        <f>SUM(I9+I23+I29+I40+I42+I45+I48+I61+I64+I66+I73+I79+I88+I93+I100+I101+I160)</f>
        <v>46280978.172910407</v>
      </c>
      <c r="J8" s="39">
        <f>SUM(J9+J23+J29+J40+J42+J45+J48+J61+J64+J66+J73+J79+J88+J93+J100+J101+J160)</f>
        <v>46170</v>
      </c>
      <c r="K8" s="40"/>
      <c r="L8" s="39">
        <f>SUM(L9+L23+L29+L40+L42+L45+L48+L61+L64+L66+L73+L79+L88+L93+L100+L101+L160)</f>
        <v>79548053.100000009</v>
      </c>
      <c r="M8" s="41">
        <f>SUM(M9+M23+M29+M40+M42+M45+M48+M61+M64+M66+M73+M79+M88+M93+M100+M101+M160)</f>
        <v>45834</v>
      </c>
      <c r="N8" s="130"/>
      <c r="O8" s="39">
        <f>SUM(O9+O23+O29+O40+O42+O45+O48+O61+O64+O66+O73+O79+O88+O93+O100+O101+O160)</f>
        <v>77882607.389129281</v>
      </c>
      <c r="P8" s="41">
        <f>SUM(P9+P23+P29+P40+P42+P45+P48+P61+P64+P66+P73+P79+P88+P93+P100+P101+P160)</f>
        <v>28328</v>
      </c>
      <c r="Q8" s="42"/>
      <c r="R8" s="39">
        <f>SUM(R9+R23+R29+R40+R42+R45+R48+R61+R64+R66+R73+R79+R88+R93+R100+R101+R160)</f>
        <v>47946424.133766092</v>
      </c>
      <c r="S8" s="43"/>
      <c r="T8" s="41">
        <f t="shared" ref="T8:Z8" si="0">SUM(T9+T23+T29+T40+T42+T45+T48+T61+T64+T66+T73+T79+T88+T93+T100+T101+T160)</f>
        <v>411946</v>
      </c>
      <c r="U8" s="41">
        <f t="shared" si="0"/>
        <v>27376.569325053224</v>
      </c>
      <c r="V8" s="41">
        <f t="shared" si="0"/>
        <v>640013416.94999993</v>
      </c>
      <c r="W8" s="39">
        <f t="shared" si="0"/>
        <v>403542</v>
      </c>
      <c r="X8" s="39">
        <f t="shared" si="0"/>
        <v>27769.750798745008</v>
      </c>
      <c r="Y8" s="39">
        <f t="shared" si="0"/>
        <v>620114107.46107864</v>
      </c>
      <c r="Z8" s="41">
        <f t="shared" si="0"/>
        <v>48940</v>
      </c>
      <c r="AA8" s="130"/>
      <c r="AB8" s="125">
        <f>SUM(AB9+AB23+AB29+AB40+AB42+AB45+AB48+AB61+AB64+AB66+AB73+AB79+AB88+AB93+AB100+AB101+AB160)</f>
        <v>84092942.117744699</v>
      </c>
      <c r="AC8" s="41">
        <f>SUM(AC9+AC23+AC29+AC40+AC42+AC45+AC48+AC61+AC64+AC66+AC73+AC79+AC88+AC93+AC100+AC101+AC160)</f>
        <v>19924</v>
      </c>
      <c r="AD8" s="44"/>
      <c r="AE8" s="39">
        <f>SUM(AE9+AE23+AE29+AE40+AE42+AE45+AE48+AE61+AE64+AE66+AE73+AE79+AE88+AE93+AE100+AE101+AE160)</f>
        <v>28047114.659490101</v>
      </c>
      <c r="AF8" s="39">
        <f>SUM(AF9+AF23+AF29+AF40+AF42+AF45+AF48+AF61+AF64+AF66+AF73+AF79+AF88+AF93+AF100+AF101+AF160)</f>
        <v>411946</v>
      </c>
      <c r="AG8" s="39">
        <f>SUM(AG9+AG23+AG29+AG40+AG42+AG45+AG48+AG61+AG64+AG66+AG73+AG79+AG88+AG93+AG100+AG101+AG160)</f>
        <v>27376.569325053224</v>
      </c>
      <c r="AH8" s="39">
        <f>SUM(AH9+AH23+AH29+AH40+AH42+AH45+AH48+AH61+AH64+AH66+AH73+AH79+AH88+AH93+AH100+AH101+AH160)</f>
        <v>640013416.94999993</v>
      </c>
      <c r="AI8" s="44"/>
      <c r="AJ8" s="44"/>
      <c r="AK8" s="39">
        <f>SUM(AK9+AK23+AK29+AK40+AK42+AK45+AK48+AK61+AK64+AK66+AK73+AK79+AK88+AK93+AK100+AK101+AK160)</f>
        <v>57042999.300000004</v>
      </c>
      <c r="AL8" s="44"/>
      <c r="AM8" s="44"/>
      <c r="AN8" s="39">
        <f>SUM(AN9+AN23+AN29+AN40+AN42+AN45+AN48+AN61+AN64+AN66+AN73+AN79+AN88+AN93+AN100+AN101+AN160)</f>
        <v>0</v>
      </c>
      <c r="AO8" s="44"/>
      <c r="AP8" s="44"/>
      <c r="AQ8" s="39">
        <f>SUM(AQ9+AQ23+AQ29+AQ40+AQ42+AQ45+AQ48+AQ61+AQ64+AQ66+AQ73+AQ79+AQ88+AQ93+AQ100+AQ101+AQ160)</f>
        <v>48356332.350000001</v>
      </c>
      <c r="AR8" s="44"/>
      <c r="AS8" s="44"/>
      <c r="AT8" s="39">
        <f>SUM(AT9+AT23+AT29+AT40+AT42+AT45+AT48+AT61+AT64+AT66+AT73+AT79+AT88+AT93+AT100+AT101+AT160)</f>
        <v>51559688.550000004</v>
      </c>
      <c r="AU8" s="44"/>
      <c r="AV8" s="44"/>
      <c r="AW8" s="39">
        <f>SUM(AW9+AW23+AW29+AW40+AW42+AW45+AW48+AW61+AW64+AW66+AW73+AW79+AW88+AW93+AW100+AW101+AW160)</f>
        <v>70199124.300000012</v>
      </c>
      <c r="AX8" s="44"/>
      <c r="AY8" s="44"/>
      <c r="AZ8" s="39">
        <f>SUM(AZ9+AZ23+AZ29+AZ40+AZ42+AZ45+AZ48+AZ61+AZ64+AZ66+AZ73+AZ79+AZ88+AZ93+AZ100+AZ101+AZ160)</f>
        <v>58734507.649999999</v>
      </c>
      <c r="BA8" s="44"/>
      <c r="BB8" s="44"/>
      <c r="BC8" s="39">
        <f>SUM(BC9+BC23+BC29+BC40+BC42+BC45+BC48+BC61+BC64+BC66+BC73+BC79+BC88+BC93+BC100+BC101+BC160)</f>
        <v>60288801.600000001</v>
      </c>
      <c r="BD8" s="44"/>
      <c r="BE8" s="44"/>
      <c r="BF8" s="39">
        <f>SUM(BF9+BF23+BF29+BF40+BF42+BF45+BF48+BF61+BF64+BF66+BF73+BF79+BF88+BF93+BF100+BF101+BF160)</f>
        <v>62522932.949999996</v>
      </c>
      <c r="BG8" s="39">
        <f>SUM(BG9+BG23+BG29+BG40+BG42+BG45+BG48+BG61+BG64+BG66+BG73+BG79+BG88+BG93+BG100+BG101+BG160)</f>
        <v>47580</v>
      </c>
      <c r="BH8" s="44"/>
      <c r="BI8" s="39">
        <f>SUM(BI9+BI23+BI29+BI40+BI42+BI45+BI48+BI61+BI64+BI66+BI73+BI79+BI88+BI93+BI100+BI101+BI160)</f>
        <v>80164066.650000006</v>
      </c>
      <c r="BJ8" s="44"/>
      <c r="BK8" s="44"/>
      <c r="BL8" s="39">
        <f>SUM(BL9+BL23+BL29+BL40+BL42+BL45+BL48+BL61+BL64+BL66+BL73+BL79+BL88+BL93+BL100+BL101+BL160)</f>
        <v>71596910.5</v>
      </c>
      <c r="BM8" s="44"/>
      <c r="BN8" s="44"/>
      <c r="BO8" s="39">
        <f>SUM(BO9+BO23+BO29+BO40+BO42+BO45+BO48+BO61+BO64+BO66+BO73+BO79+BO88+BO93+BO100+BO101+BO160)</f>
        <v>79548053.100000009</v>
      </c>
      <c r="BP8" s="44"/>
      <c r="BQ8" s="44"/>
      <c r="BR8" s="39">
        <f>SUM(BR9+BR23+BR29+BR40+BR42+BR45+BR48+BR61+BR64+BR66+BR73+BR79+BR88+BR93+BR100+BR101+BR160)</f>
        <v>0</v>
      </c>
      <c r="BS8" s="170"/>
      <c r="BT8" s="39">
        <f>SUM(BT9+BT23+BT29+BT40+BT42+BT45+BT48+BT61+BT64+BT66+BT73+BT79+BT88+BT93+BT100+BT101+BT160)</f>
        <v>403542</v>
      </c>
      <c r="BU8" s="39">
        <f>SUM(BU9+BU23+BU29+BU40+BU42+BU45+BU48+BU61+BU64+BU66+BU73+BU79+BU88+BU93+BU100+BU101+BU160)</f>
        <v>27769.750798745008</v>
      </c>
      <c r="BV8" s="39">
        <f>SUM(BV9+BV23+BV29+BV40+BV42+BV45+BV48+BV61+BV64+BV66+BV73+BV79+BV88+BV93+BV100+BV101+BV160)</f>
        <v>620114107.46107864</v>
      </c>
      <c r="BW8" s="44"/>
      <c r="BX8" s="44"/>
      <c r="BY8" s="39">
        <f>SUM(BY9+BY23+BY29+BY40+BY42+BY45+BY48+BY61+BY64+BY66+BY73+BY79+BY88+BY93+BY100+BY101+BY160)</f>
        <v>43470018.928894386</v>
      </c>
      <c r="BZ8" s="44"/>
      <c r="CA8" s="44"/>
      <c r="CB8" s="39">
        <f>SUM(CB9+CB23+CB29+CB40+CB42+CB45+CB48+CB61+CB64+CB66+CB73+CB79+CB88+CB93+CB100+CB101+CB160)</f>
        <v>34053716.42135597</v>
      </c>
      <c r="CC8" s="44"/>
      <c r="CD8" s="44"/>
      <c r="CE8" s="39">
        <f>SUM(CE9+CE23+CE29+CE40+CE42+CE45+CE48+CE61+CE64+CE66+CE73+CE79+CE88+CE93+CE100+CE101+CE160)</f>
        <v>33537549.93586687</v>
      </c>
      <c r="CF8" s="44"/>
      <c r="CG8" s="44"/>
      <c r="CH8" s="39">
        <f>SUM(CH9+CH23+CH29+CH40+CH42+CH45+CH48+CH61+CH64+CH66+CH73+CH79+CH88+CH93+CH100+CH101+CH160)</f>
        <v>39630510.165178433</v>
      </c>
      <c r="CI8" s="44"/>
      <c r="CJ8" s="44"/>
      <c r="CK8" s="39">
        <f>SUM(CK9+CK23+CK29+CK40+CK42+CK45+CK48+CK61+CK64+CK66+CK73+CK79+CK88+CK93+CK100+CK101+CK160)</f>
        <v>69708632.43582812</v>
      </c>
      <c r="CL8" s="44"/>
      <c r="CM8" s="44"/>
      <c r="CN8" s="39">
        <f>SUM(CN9+CN23+CN29+CN40+CN42+CN45+CN48+CN61+CN64+CN66+CN73+CN79+CN88+CN93+CN100+CN101+CN160)</f>
        <v>56201555.05236575</v>
      </c>
      <c r="CO8" s="44"/>
      <c r="CP8" s="44"/>
      <c r="CQ8" s="39">
        <f>SUM(CQ9+CQ23+CQ29+CQ40+CQ42+CQ45+CQ48+CQ61+CQ64+CQ66+CQ73+CQ79+CQ88+CQ93+CQ100+CQ101+CQ160)</f>
        <v>60349219.075414293</v>
      </c>
      <c r="CR8" s="44"/>
      <c r="CS8" s="44"/>
      <c r="CT8" s="39">
        <f>SUM(CT9+CT23+CT29+CT40+CT42+CT45+CT48+CT61+CT64+CT66+CT73+CT79+CT88+CT93+CT100+CT101+CT160)</f>
        <v>64399012.138194911</v>
      </c>
      <c r="CU8" s="39">
        <f>SUM(CU9+CU23+CU29+CU40+CU42+CU45+CU48+CU61+CU64+CU66+CU73+CU79+CU88+CU93+CU100+CU101+CU160)</f>
        <v>44706</v>
      </c>
      <c r="CV8" s="44"/>
      <c r="CW8" s="39">
        <f>SUM(CW9+CW23+CW29+CW40+CW42+CW45+CW48+CW61+CW64+CW66+CW73+CW79+CW88+CW93+CW100+CW101+CW160)</f>
        <v>67768117.503174648</v>
      </c>
      <c r="CX8" s="41">
        <f>SUM(CX9+CX23+CX29+CX40+CX42+CX45+CX48+CX61+CX64+CX66+CX73+CX79+CX88+CX93+CX100+CX101+CX160)</f>
        <v>44790</v>
      </c>
      <c r="CY8" s="42"/>
      <c r="CZ8" s="39">
        <f>SUM(CZ9+CZ23+CZ29+CZ40+CZ42+CZ45+CZ48+CZ61+CZ64+CZ66+CZ73+CZ79+CZ88+CZ93+CZ100+CZ101+CZ160)</f>
        <v>73113168.415675968</v>
      </c>
      <c r="DA8" s="44"/>
      <c r="DB8" s="44"/>
      <c r="DC8" s="39">
        <f>SUM(DC9+DC23+DC29+DC40+DC42+DC45+DC48+DC61+DC64+DC66+DC73+DC79+DC88+DC93+DC100+DC101+DC160)</f>
        <v>77882607.389129281</v>
      </c>
      <c r="DD8" s="44"/>
      <c r="DE8" s="44"/>
      <c r="DF8" s="45">
        <f>SUM(DF9+DF23+DF29+DF40+DF42+DF45+DF48+DF61+DF64+DF66+DF73+DF79+DF88+DF93+DF100+DF101+DF160)</f>
        <v>0</v>
      </c>
    </row>
    <row r="9" spans="1:110" s="25" customFormat="1" ht="24.95" customHeight="1">
      <c r="A9" s="46" t="s">
        <v>17</v>
      </c>
      <c r="B9" s="47"/>
      <c r="C9" s="48"/>
      <c r="D9" s="49"/>
      <c r="E9" s="50"/>
      <c r="F9" s="51"/>
      <c r="G9" s="52">
        <f>SUM(G10:G22)</f>
        <v>7783</v>
      </c>
      <c r="H9" s="53"/>
      <c r="I9" s="52">
        <f>SUM(I10:I22)</f>
        <v>9156012.4408371337</v>
      </c>
      <c r="J9" s="52">
        <f>SUM(J10:J22)</f>
        <v>13700</v>
      </c>
      <c r="K9" s="53"/>
      <c r="L9" s="52">
        <f>SUM(L10:L22)</f>
        <v>19618725</v>
      </c>
      <c r="M9" s="52">
        <f>SUM(M10:M22)</f>
        <v>13112</v>
      </c>
      <c r="N9" s="53"/>
      <c r="O9" s="52">
        <f>SUM(O10:O22)</f>
        <v>17214005.246310264</v>
      </c>
      <c r="P9" s="52">
        <f>SUM(P10:P22)</f>
        <v>8371</v>
      </c>
      <c r="Q9" s="54"/>
      <c r="R9" s="52">
        <f>SUM(R10:R22)</f>
        <v>11560732.444511835</v>
      </c>
      <c r="S9" s="56"/>
      <c r="T9" s="55">
        <v>98422</v>
      </c>
      <c r="U9" s="55">
        <v>1255.4456930361098</v>
      </c>
      <c r="V9" s="55">
        <v>123563476</v>
      </c>
      <c r="W9" s="55">
        <v>93457</v>
      </c>
      <c r="X9" s="55">
        <v>1253.2388270443198</v>
      </c>
      <c r="Y9" s="55">
        <v>117123941.059081</v>
      </c>
      <c r="Z9" s="52">
        <f>SUM(Z10:Z22)</f>
        <v>15600</v>
      </c>
      <c r="AA9" s="53"/>
      <c r="AB9" s="52">
        <f>SUM(AB10:AB22)</f>
        <v>22779207.847183421</v>
      </c>
      <c r="AC9" s="52">
        <f>SUM(AC10:AC22)</f>
        <v>3406</v>
      </c>
      <c r="AD9" s="53"/>
      <c r="AE9" s="52">
        <f>SUM(AE10:AE22)</f>
        <v>5121178.8698927965</v>
      </c>
      <c r="AF9" s="52">
        <f>SUM(AF10:AF22)</f>
        <v>98422</v>
      </c>
      <c r="AG9" s="52">
        <f>IFERROR(AH9/AF9,0)</f>
        <v>1255.4456930361098</v>
      </c>
      <c r="AH9" s="52">
        <f>SUM(AH10:AH22)</f>
        <v>123563476</v>
      </c>
      <c r="AI9" s="53"/>
      <c r="AJ9" s="53"/>
      <c r="AK9" s="52">
        <f>SUM(AK10:AK22)</f>
        <v>13359885</v>
      </c>
      <c r="AL9" s="53"/>
      <c r="AM9" s="53"/>
      <c r="AN9" s="53"/>
      <c r="AO9" s="52"/>
      <c r="AP9" s="52"/>
      <c r="AQ9" s="52">
        <f t="shared" ref="AQ9:BR9" si="1">SUM(AQ10:AQ22)</f>
        <v>9177210</v>
      </c>
      <c r="AR9" s="52"/>
      <c r="AS9" s="52"/>
      <c r="AT9" s="52">
        <f t="shared" si="1"/>
        <v>7682745</v>
      </c>
      <c r="AU9" s="52"/>
      <c r="AV9" s="52"/>
      <c r="AW9" s="52">
        <f t="shared" si="1"/>
        <v>7810530</v>
      </c>
      <c r="AX9" s="52"/>
      <c r="AY9" s="52"/>
      <c r="AZ9" s="52">
        <f t="shared" si="1"/>
        <v>10049550</v>
      </c>
      <c r="BA9" s="52"/>
      <c r="BB9" s="52"/>
      <c r="BC9" s="52">
        <f t="shared" si="1"/>
        <v>9551850</v>
      </c>
      <c r="BD9" s="52"/>
      <c r="BE9" s="52"/>
      <c r="BF9" s="52">
        <f t="shared" si="1"/>
        <v>12129348</v>
      </c>
      <c r="BG9" s="52">
        <v>15050</v>
      </c>
      <c r="BH9" s="52"/>
      <c r="BI9" s="52">
        <v>17949540</v>
      </c>
      <c r="BJ9" s="52"/>
      <c r="BK9" s="52"/>
      <c r="BL9" s="52">
        <f t="shared" si="1"/>
        <v>16234093</v>
      </c>
      <c r="BM9" s="52"/>
      <c r="BN9" s="52"/>
      <c r="BO9" s="52">
        <f t="shared" si="1"/>
        <v>19618725</v>
      </c>
      <c r="BP9" s="52"/>
      <c r="BQ9" s="52"/>
      <c r="BR9" s="52">
        <f t="shared" si="1"/>
        <v>0</v>
      </c>
      <c r="BT9" s="53">
        <f>SUM(BT10:BT22)</f>
        <v>93457</v>
      </c>
      <c r="BU9" s="53">
        <f>IFERROR(BV9/BT9,0)</f>
        <v>1253.2388270443198</v>
      </c>
      <c r="BV9" s="53">
        <f>SUM(BV10:BV22)</f>
        <v>117123941.059081</v>
      </c>
      <c r="BW9" s="53"/>
      <c r="BX9" s="53"/>
      <c r="BY9" s="53">
        <f>SUM(BY10:BY22)</f>
        <v>9370573.0890624151</v>
      </c>
      <c r="BZ9" s="53"/>
      <c r="CA9" s="53"/>
      <c r="CB9" s="53">
        <f>SUM(CB10:CB22)</f>
        <v>7961618.6589428307</v>
      </c>
      <c r="CC9" s="53"/>
      <c r="CD9" s="53"/>
      <c r="CE9" s="53">
        <f t="shared" ref="CE9" si="2">SUM(CE10:CE22)</f>
        <v>6404253.1362256724</v>
      </c>
      <c r="CF9" s="53"/>
      <c r="CG9" s="53"/>
      <c r="CH9" s="53">
        <f t="shared" ref="CH9" si="3">SUM(CH10:CH22)</f>
        <v>6821771.4036248503</v>
      </c>
      <c r="CI9" s="53"/>
      <c r="CJ9" s="53"/>
      <c r="CK9" s="53">
        <f t="shared" ref="CK9" si="4">SUM(CK10:CK22)</f>
        <v>7655324.1218211055</v>
      </c>
      <c r="CL9" s="53"/>
      <c r="CM9" s="53"/>
      <c r="CN9" s="53">
        <f t="shared" ref="CN9" si="5">SUM(CN10:CN22)</f>
        <v>8899630.4145912733</v>
      </c>
      <c r="CO9" s="53"/>
      <c r="CP9" s="53"/>
      <c r="CQ9" s="53">
        <f>SUM(CQ10:CQ22)</f>
        <v>9993321.9204130657</v>
      </c>
      <c r="CR9" s="53"/>
      <c r="CS9" s="53"/>
      <c r="CT9" s="53">
        <f t="shared" ref="CT9" si="6">SUM(CT10:CT22)</f>
        <v>12621265.714470988</v>
      </c>
      <c r="CU9" s="53">
        <v>12613</v>
      </c>
      <c r="CV9" s="53"/>
      <c r="CW9" s="53">
        <v>14123246.470761444</v>
      </c>
      <c r="CX9" s="52">
        <f>SUM(CX10:CX22)</f>
        <v>12905</v>
      </c>
      <c r="CY9" s="53"/>
      <c r="CZ9" s="53">
        <f t="shared" ref="CZ9" si="7">SUM(CZ10:CZ22)</f>
        <v>16058930.882857133</v>
      </c>
      <c r="DA9" s="53"/>
      <c r="DB9" s="53"/>
      <c r="DC9" s="53">
        <f t="shared" ref="DC9" si="8">SUM(DC10:DC22)</f>
        <v>17214005.246310264</v>
      </c>
      <c r="DD9" s="53"/>
      <c r="DE9" s="53"/>
      <c r="DF9" s="57">
        <f t="shared" ref="DF9" si="9">SUM(DF10:DF22)</f>
        <v>0</v>
      </c>
    </row>
    <row r="10" spans="1:110" ht="24.95" customHeight="1">
      <c r="A10" s="58">
        <v>1</v>
      </c>
      <c r="B10" s="59" t="s">
        <v>49</v>
      </c>
      <c r="C10" s="60" t="s">
        <v>50</v>
      </c>
      <c r="D10" s="61" t="s">
        <v>51</v>
      </c>
      <c r="E10" s="62" t="s">
        <v>52</v>
      </c>
      <c r="F10" s="60" t="s">
        <v>53</v>
      </c>
      <c r="G10" s="63">
        <v>1965</v>
      </c>
      <c r="H10" s="64">
        <v>537.68932952942737</v>
      </c>
      <c r="I10" s="64">
        <v>1056559.5325253247</v>
      </c>
      <c r="J10" s="33">
        <v>1500</v>
      </c>
      <c r="K10" s="33">
        <v>537.6</v>
      </c>
      <c r="L10" s="33">
        <f t="shared" ref="L10:L22" si="10">J10*K10</f>
        <v>806400</v>
      </c>
      <c r="M10" s="34">
        <v>2871</v>
      </c>
      <c r="N10" s="33">
        <f t="shared" ref="N10:N22" si="11">IFERROR((G10*H10+J10*K10)/(G10+J10),0)</f>
        <v>537.65065873746744</v>
      </c>
      <c r="O10" s="33">
        <f>M10*N10</f>
        <v>1543595.041235269</v>
      </c>
      <c r="P10" s="137">
        <f>G10+J10-M10</f>
        <v>594</v>
      </c>
      <c r="Q10" s="34">
        <f>N10</f>
        <v>537.65065873746744</v>
      </c>
      <c r="R10" s="33">
        <f>P10*Q10</f>
        <v>319364.49129005568</v>
      </c>
      <c r="S10" s="36">
        <v>47000</v>
      </c>
      <c r="T10" s="34">
        <v>24800</v>
      </c>
      <c r="U10" s="34">
        <v>537.6</v>
      </c>
      <c r="V10" s="34">
        <v>13332480</v>
      </c>
      <c r="W10" s="34">
        <v>25208</v>
      </c>
      <c r="X10" s="34">
        <v>537.64500541452458</v>
      </c>
      <c r="Y10" s="34">
        <v>13552955.296489336</v>
      </c>
      <c r="Z10" s="34">
        <v>1500</v>
      </c>
      <c r="AA10" s="33">
        <v>537.79061017503682</v>
      </c>
      <c r="AB10" s="34">
        <f>Z10*AA10</f>
        <v>806685.91526255524</v>
      </c>
      <c r="AC10" s="33">
        <v>1002</v>
      </c>
      <c r="AD10" s="33">
        <v>537.59938827225676</v>
      </c>
      <c r="AE10" s="33">
        <v>538674.58704880124</v>
      </c>
      <c r="AF10" s="65">
        <f>SUMIF($AI$6:$BR$6,$AF$6,AI10:BR10)</f>
        <v>24800</v>
      </c>
      <c r="AG10" s="33">
        <f>IFERROR(AH10/AF10,0)</f>
        <v>537.6</v>
      </c>
      <c r="AH10" s="65">
        <f>SUMIF($AI$6:$BR$6,$AH$6,AI10:BR10)</f>
        <v>13332480</v>
      </c>
      <c r="AI10" s="33">
        <v>1900</v>
      </c>
      <c r="AJ10" s="33">
        <v>537.6</v>
      </c>
      <c r="AK10" s="33">
        <v>1021440</v>
      </c>
      <c r="AL10" s="33"/>
      <c r="AM10" s="33"/>
      <c r="AN10" s="33"/>
      <c r="AO10" s="33">
        <v>1500</v>
      </c>
      <c r="AP10" s="33">
        <v>537.6</v>
      </c>
      <c r="AQ10" s="33">
        <v>806400</v>
      </c>
      <c r="AR10" s="33">
        <v>1500</v>
      </c>
      <c r="AS10" s="33">
        <v>537.6</v>
      </c>
      <c r="AT10" s="33">
        <v>806400</v>
      </c>
      <c r="AU10" s="33">
        <v>1600</v>
      </c>
      <c r="AV10" s="33">
        <v>537.6</v>
      </c>
      <c r="AW10" s="33">
        <v>860160</v>
      </c>
      <c r="AX10" s="33">
        <v>3600</v>
      </c>
      <c r="AY10" s="33">
        <v>537.6</v>
      </c>
      <c r="AZ10" s="33">
        <v>1935360</v>
      </c>
      <c r="BA10" s="33">
        <v>3800</v>
      </c>
      <c r="BB10" s="33">
        <v>537.6</v>
      </c>
      <c r="BC10" s="33">
        <v>2042880</v>
      </c>
      <c r="BD10" s="33">
        <v>3200</v>
      </c>
      <c r="BE10" s="33">
        <v>537.6</v>
      </c>
      <c r="BF10" s="33">
        <v>1720320</v>
      </c>
      <c r="BG10" s="33">
        <v>3200</v>
      </c>
      <c r="BH10" s="33">
        <v>537.6</v>
      </c>
      <c r="BI10" s="33">
        <v>1720320</v>
      </c>
      <c r="BJ10" s="33">
        <v>3000</v>
      </c>
      <c r="BK10" s="33">
        <v>537.6</v>
      </c>
      <c r="BL10" s="33">
        <v>1612800</v>
      </c>
      <c r="BM10" s="33">
        <v>1500</v>
      </c>
      <c r="BN10" s="33">
        <v>537.6</v>
      </c>
      <c r="BO10" s="33">
        <v>806400</v>
      </c>
      <c r="BP10" s="33"/>
      <c r="BQ10" s="33"/>
      <c r="BR10" s="33"/>
      <c r="BT10" s="65">
        <f>SUMIF($BW6:$DF6,$BT$6,BW10:DF10)</f>
        <v>25208</v>
      </c>
      <c r="BU10" s="33">
        <f>IFERROR(BV10/BT10,0)</f>
        <v>537.64500541452458</v>
      </c>
      <c r="BV10" s="65">
        <f>SUMIF($BW6:$DF6,$BV6,BW10:DF10)</f>
        <v>13552955.296489336</v>
      </c>
      <c r="BW10" s="33">
        <v>1120</v>
      </c>
      <c r="BX10" s="33">
        <v>537.59978878318441</v>
      </c>
      <c r="BY10" s="33">
        <v>602111.76343716658</v>
      </c>
      <c r="BZ10" s="33">
        <v>1251</v>
      </c>
      <c r="CA10" s="33">
        <v>537.59978878318441</v>
      </c>
      <c r="CB10" s="33">
        <v>672537.33576776367</v>
      </c>
      <c r="CC10" s="33">
        <v>1186</v>
      </c>
      <c r="CD10" s="33">
        <v>537.59994477787836</v>
      </c>
      <c r="CE10" s="33">
        <v>637593.5345065638</v>
      </c>
      <c r="CF10" s="33">
        <v>1352</v>
      </c>
      <c r="CG10" s="33">
        <v>537.59998010119705</v>
      </c>
      <c r="CH10" s="33">
        <v>726835.17309681838</v>
      </c>
      <c r="CI10" s="33">
        <v>1796</v>
      </c>
      <c r="CJ10" s="33">
        <v>537.59999237967168</v>
      </c>
      <c r="CK10" s="33">
        <v>965529.58631389029</v>
      </c>
      <c r="CL10" s="33">
        <v>2189</v>
      </c>
      <c r="CM10" s="33">
        <v>537.59999861873973</v>
      </c>
      <c r="CN10" s="33">
        <v>1176806.3969764214</v>
      </c>
      <c r="CO10" s="33">
        <v>2883</v>
      </c>
      <c r="CP10" s="33">
        <v>537.59999949237306</v>
      </c>
      <c r="CQ10" s="33">
        <v>1549900.7985365116</v>
      </c>
      <c r="CR10" s="33">
        <v>3412</v>
      </c>
      <c r="CS10" s="33">
        <v>537.59999974919629</v>
      </c>
      <c r="CT10" s="33">
        <v>1834291.1991442577</v>
      </c>
      <c r="CU10" s="33">
        <v>3467</v>
      </c>
      <c r="CV10" s="33">
        <v>537.79061017503682</v>
      </c>
      <c r="CW10" s="33">
        <v>1864520.0454768527</v>
      </c>
      <c r="CX10" s="33">
        <v>3681</v>
      </c>
      <c r="CY10" s="33">
        <v>537.68932952942737</v>
      </c>
      <c r="CZ10" s="33">
        <v>1979234.4219978221</v>
      </c>
      <c r="DA10" s="33">
        <v>2871</v>
      </c>
      <c r="DB10" s="33">
        <v>537.65065873746744</v>
      </c>
      <c r="DC10" s="33">
        <v>1543595.041235269</v>
      </c>
      <c r="DD10" s="33"/>
      <c r="DE10" s="33"/>
      <c r="DF10" s="66"/>
    </row>
    <row r="11" spans="1:110" ht="24.95" customHeight="1">
      <c r="A11" s="58">
        <v>2</v>
      </c>
      <c r="B11" s="59" t="s">
        <v>54</v>
      </c>
      <c r="C11" s="60" t="s">
        <v>50</v>
      </c>
      <c r="D11" s="61" t="s">
        <v>55</v>
      </c>
      <c r="E11" s="62" t="s">
        <v>56</v>
      </c>
      <c r="F11" s="60" t="s">
        <v>53</v>
      </c>
      <c r="G11" s="63">
        <v>1170</v>
      </c>
      <c r="H11" s="64">
        <v>575.32109456811122</v>
      </c>
      <c r="I11" s="64">
        <v>673125.68064469018</v>
      </c>
      <c r="J11" s="33">
        <v>500</v>
      </c>
      <c r="K11" s="33">
        <v>575.4</v>
      </c>
      <c r="L11" s="33">
        <f t="shared" si="10"/>
        <v>287700</v>
      </c>
      <c r="M11" s="34">
        <v>905</v>
      </c>
      <c r="N11" s="33">
        <f t="shared" si="11"/>
        <v>575.34471894891624</v>
      </c>
      <c r="O11" s="33">
        <f t="shared" ref="O11:O22" si="12">M11*N11</f>
        <v>520686.97064876917</v>
      </c>
      <c r="P11" s="137">
        <f t="shared" ref="P11:P39" si="13">G11+J11-M11</f>
        <v>765</v>
      </c>
      <c r="Q11" s="34">
        <f t="shared" ref="Q11:Q39" si="14">N11</f>
        <v>575.34471894891624</v>
      </c>
      <c r="R11" s="33">
        <f t="shared" ref="R11:R22" si="15">P11*Q11</f>
        <v>440138.70999592094</v>
      </c>
      <c r="S11" s="36">
        <v>46945</v>
      </c>
      <c r="T11" s="34">
        <v>10600</v>
      </c>
      <c r="U11" s="34">
        <v>575.4</v>
      </c>
      <c r="V11" s="34">
        <v>6099240</v>
      </c>
      <c r="W11" s="34">
        <v>9835</v>
      </c>
      <c r="X11" s="34">
        <v>575.37046161708986</v>
      </c>
      <c r="Y11" s="34">
        <v>5658768.4900040785</v>
      </c>
      <c r="Z11" s="34">
        <v>500</v>
      </c>
      <c r="AA11" s="33">
        <v>575.31315240083507</v>
      </c>
      <c r="AB11" s="34">
        <f t="shared" ref="AB11:AB22" si="16">Z11*AA11</f>
        <v>287656.57620041753</v>
      </c>
      <c r="AC11" s="33"/>
      <c r="AD11" s="33"/>
      <c r="AE11" s="33"/>
      <c r="AF11" s="65">
        <f>SUMIF($AI$6:$BR$6,$AF$6,AI11:BR11)</f>
        <v>10600</v>
      </c>
      <c r="AG11" s="33">
        <f>IFERROR(AH11/AF11,0)</f>
        <v>575.4</v>
      </c>
      <c r="AH11" s="65">
        <f>SUMIF($AI$6:$BR$6,$AH$6,AI11:BR11)</f>
        <v>6099240</v>
      </c>
      <c r="AI11" s="33">
        <v>400</v>
      </c>
      <c r="AJ11" s="33">
        <v>575.4</v>
      </c>
      <c r="AK11" s="33">
        <v>230160</v>
      </c>
      <c r="AL11" s="33"/>
      <c r="AM11" s="33"/>
      <c r="AN11" s="33"/>
      <c r="AO11" s="33">
        <v>200</v>
      </c>
      <c r="AP11" s="33">
        <v>575.4</v>
      </c>
      <c r="AQ11" s="33">
        <v>115080</v>
      </c>
      <c r="AR11" s="33">
        <v>600</v>
      </c>
      <c r="AS11" s="33">
        <v>575.4</v>
      </c>
      <c r="AT11" s="33">
        <v>345240</v>
      </c>
      <c r="AU11" s="33">
        <v>600</v>
      </c>
      <c r="AV11" s="33">
        <v>575.4</v>
      </c>
      <c r="AW11" s="33">
        <v>345240</v>
      </c>
      <c r="AX11" s="33">
        <v>1200</v>
      </c>
      <c r="AY11" s="33">
        <v>575.4</v>
      </c>
      <c r="AZ11" s="33">
        <v>690480</v>
      </c>
      <c r="BA11" s="33">
        <v>1400</v>
      </c>
      <c r="BB11" s="33">
        <v>575.4</v>
      </c>
      <c r="BC11" s="33">
        <v>805560</v>
      </c>
      <c r="BD11" s="33">
        <v>2500</v>
      </c>
      <c r="BE11" s="33">
        <v>575.4</v>
      </c>
      <c r="BF11" s="33">
        <v>1438500</v>
      </c>
      <c r="BG11" s="33">
        <v>3000</v>
      </c>
      <c r="BH11" s="33">
        <v>575.4</v>
      </c>
      <c r="BI11" s="33">
        <v>1726200</v>
      </c>
      <c r="BJ11" s="33">
        <v>200</v>
      </c>
      <c r="BK11" s="33">
        <v>575.4</v>
      </c>
      <c r="BL11" s="33">
        <v>115080</v>
      </c>
      <c r="BM11" s="33">
        <v>500</v>
      </c>
      <c r="BN11" s="33">
        <v>575.4</v>
      </c>
      <c r="BO11" s="33">
        <v>287700</v>
      </c>
      <c r="BP11" s="33"/>
      <c r="BQ11" s="33"/>
      <c r="BR11" s="33"/>
      <c r="BT11" s="65">
        <f t="shared" ref="BT11:BT19" si="17">SUMIF($BW$6:$DF$6,$BT$6,BW11:DF11)</f>
        <v>9835</v>
      </c>
      <c r="BU11" s="33">
        <f>IFERROR(BV11/BT11,0)</f>
        <v>575.37046161708986</v>
      </c>
      <c r="BV11" s="65">
        <f>SUMIF($BW$6:$DF$6,$BV6,BW11:DF11)</f>
        <v>5658768.4900040785</v>
      </c>
      <c r="BW11" s="33">
        <v>205</v>
      </c>
      <c r="BX11" s="33">
        <v>575.4</v>
      </c>
      <c r="BY11" s="33">
        <v>117957</v>
      </c>
      <c r="BZ11" s="33">
        <v>145</v>
      </c>
      <c r="CA11" s="33">
        <v>575.4</v>
      </c>
      <c r="CB11" s="33">
        <v>83433</v>
      </c>
      <c r="CC11" s="33">
        <v>150</v>
      </c>
      <c r="CD11" s="33">
        <v>575.4</v>
      </c>
      <c r="CE11" s="33">
        <v>86310</v>
      </c>
      <c r="CF11" s="33">
        <v>334</v>
      </c>
      <c r="CG11" s="33">
        <v>575.4</v>
      </c>
      <c r="CH11" s="33">
        <v>192183.6</v>
      </c>
      <c r="CI11" s="33">
        <v>740</v>
      </c>
      <c r="CJ11" s="33">
        <v>575.4</v>
      </c>
      <c r="CK11" s="33">
        <v>425796</v>
      </c>
      <c r="CL11" s="33">
        <v>1157</v>
      </c>
      <c r="CM11" s="33">
        <v>575.4</v>
      </c>
      <c r="CN11" s="33">
        <v>665737.79999999993</v>
      </c>
      <c r="CO11" s="33">
        <v>1385</v>
      </c>
      <c r="CP11" s="33">
        <v>575.4</v>
      </c>
      <c r="CQ11" s="33">
        <v>796929</v>
      </c>
      <c r="CR11" s="33">
        <v>1952</v>
      </c>
      <c r="CS11" s="33">
        <v>575.4</v>
      </c>
      <c r="CT11" s="33">
        <v>1123180.8</v>
      </c>
      <c r="CU11" s="33">
        <v>1845</v>
      </c>
      <c r="CV11" s="33">
        <v>575.31315240083507</v>
      </c>
      <c r="CW11" s="33">
        <v>1061452.7661795407</v>
      </c>
      <c r="CX11" s="33">
        <v>1017</v>
      </c>
      <c r="CY11" s="33">
        <v>575.32109456811122</v>
      </c>
      <c r="CZ11" s="33">
        <v>585101.55317576916</v>
      </c>
      <c r="DA11" s="33">
        <v>905</v>
      </c>
      <c r="DB11" s="33">
        <v>575.34471894891624</v>
      </c>
      <c r="DC11" s="33">
        <v>520686.97064876917</v>
      </c>
      <c r="DD11" s="33"/>
      <c r="DE11" s="33"/>
      <c r="DF11" s="66"/>
    </row>
    <row r="12" spans="1:110" ht="24.95" customHeight="1">
      <c r="A12" s="58">
        <v>3</v>
      </c>
      <c r="B12" s="59" t="s">
        <v>58</v>
      </c>
      <c r="C12" s="60" t="s">
        <v>50</v>
      </c>
      <c r="D12" s="61" t="s">
        <v>55</v>
      </c>
      <c r="E12" s="62" t="s">
        <v>57</v>
      </c>
      <c r="F12" s="60" t="s">
        <v>53</v>
      </c>
      <c r="G12" s="63">
        <v>120</v>
      </c>
      <c r="H12" s="64">
        <v>3885</v>
      </c>
      <c r="I12" s="64">
        <v>466200</v>
      </c>
      <c r="J12" s="33">
        <v>200</v>
      </c>
      <c r="K12" s="33">
        <v>3885</v>
      </c>
      <c r="L12" s="33">
        <f t="shared" si="10"/>
        <v>777000</v>
      </c>
      <c r="M12" s="34">
        <v>211</v>
      </c>
      <c r="N12" s="33">
        <f t="shared" si="11"/>
        <v>3885</v>
      </c>
      <c r="O12" s="33">
        <f t="shared" si="12"/>
        <v>819735</v>
      </c>
      <c r="P12" s="137">
        <f t="shared" si="13"/>
        <v>109</v>
      </c>
      <c r="Q12" s="34">
        <f t="shared" si="14"/>
        <v>3885</v>
      </c>
      <c r="R12" s="33">
        <f t="shared" si="15"/>
        <v>423465</v>
      </c>
      <c r="S12" s="36">
        <v>46793</v>
      </c>
      <c r="T12" s="34">
        <v>2762</v>
      </c>
      <c r="U12" s="34">
        <v>3885</v>
      </c>
      <c r="V12" s="34">
        <v>10730370</v>
      </c>
      <c r="W12" s="34">
        <v>2755</v>
      </c>
      <c r="X12" s="34">
        <v>3885</v>
      </c>
      <c r="Y12" s="34">
        <v>10703175</v>
      </c>
      <c r="Z12" s="34">
        <v>200</v>
      </c>
      <c r="AA12" s="33">
        <v>3885</v>
      </c>
      <c r="AB12" s="34">
        <f t="shared" si="16"/>
        <v>777000</v>
      </c>
      <c r="AC12" s="33">
        <v>102</v>
      </c>
      <c r="AD12" s="33">
        <v>3885</v>
      </c>
      <c r="AE12" s="33">
        <v>396270</v>
      </c>
      <c r="AF12" s="65">
        <f>SUMIF($AI$6:$BR$6,$AF$6,AI12:BR12)</f>
        <v>2762</v>
      </c>
      <c r="AG12" s="33">
        <f t="shared" ref="AG12:AG76" si="18">IFERROR(AH12/AF12,0)</f>
        <v>3885</v>
      </c>
      <c r="AH12" s="65">
        <f t="shared" ref="AH12:AH22" si="19">SUMIF($AI$6:$BR$6,$AH$6,AI12:BR12)</f>
        <v>10730370</v>
      </c>
      <c r="AI12" s="33">
        <v>400</v>
      </c>
      <c r="AJ12" s="33">
        <v>3885</v>
      </c>
      <c r="AK12" s="33">
        <v>1554000</v>
      </c>
      <c r="AL12" s="33"/>
      <c r="AM12" s="33"/>
      <c r="AN12" s="33"/>
      <c r="AO12" s="33">
        <v>400</v>
      </c>
      <c r="AP12" s="33">
        <v>3885</v>
      </c>
      <c r="AQ12" s="33">
        <v>1554000</v>
      </c>
      <c r="AR12" s="33">
        <v>320</v>
      </c>
      <c r="AS12" s="33">
        <v>3885</v>
      </c>
      <c r="AT12" s="33">
        <v>1243200</v>
      </c>
      <c r="AU12" s="33">
        <v>250</v>
      </c>
      <c r="AV12" s="33">
        <v>3885</v>
      </c>
      <c r="AW12" s="33">
        <v>971250</v>
      </c>
      <c r="AX12" s="33">
        <v>250</v>
      </c>
      <c r="AY12" s="33">
        <v>3885</v>
      </c>
      <c r="AZ12" s="33">
        <v>971250</v>
      </c>
      <c r="BA12" s="33">
        <v>250</v>
      </c>
      <c r="BB12" s="33">
        <v>3885</v>
      </c>
      <c r="BC12" s="33">
        <v>971250</v>
      </c>
      <c r="BD12" s="33">
        <v>192</v>
      </c>
      <c r="BE12" s="33">
        <v>3885</v>
      </c>
      <c r="BF12" s="33">
        <v>745920</v>
      </c>
      <c r="BG12" s="33">
        <v>250</v>
      </c>
      <c r="BH12" s="33">
        <v>3885</v>
      </c>
      <c r="BI12" s="33">
        <v>971250</v>
      </c>
      <c r="BJ12" s="33">
        <v>250</v>
      </c>
      <c r="BK12" s="33">
        <v>3885</v>
      </c>
      <c r="BL12" s="33">
        <v>971250</v>
      </c>
      <c r="BM12" s="33">
        <v>200</v>
      </c>
      <c r="BN12" s="33">
        <v>3885</v>
      </c>
      <c r="BO12" s="33">
        <v>777000</v>
      </c>
      <c r="BP12" s="33"/>
      <c r="BQ12" s="33"/>
      <c r="BR12" s="33"/>
      <c r="BT12" s="65">
        <f t="shared" si="17"/>
        <v>2755</v>
      </c>
      <c r="BU12" s="33">
        <f t="shared" ref="BU12:BU75" si="20">IFERROR(BV12/BT12,0)</f>
        <v>3885</v>
      </c>
      <c r="BV12" s="65">
        <f>SUMIF($BW$6:$DF$6,$BV6,BW12:DF12)</f>
        <v>10703175</v>
      </c>
      <c r="BW12" s="33">
        <v>296</v>
      </c>
      <c r="BX12" s="33">
        <v>3885</v>
      </c>
      <c r="BY12" s="33">
        <v>1149960</v>
      </c>
      <c r="BZ12" s="33">
        <v>187</v>
      </c>
      <c r="CA12" s="33">
        <v>3885</v>
      </c>
      <c r="CB12" s="33">
        <v>726495</v>
      </c>
      <c r="CC12" s="33">
        <v>219</v>
      </c>
      <c r="CD12" s="33">
        <v>3885</v>
      </c>
      <c r="CE12" s="33">
        <v>850815</v>
      </c>
      <c r="CF12" s="33">
        <v>277</v>
      </c>
      <c r="CG12" s="33">
        <v>3885</v>
      </c>
      <c r="CH12" s="33">
        <v>1076145</v>
      </c>
      <c r="CI12" s="33">
        <v>312</v>
      </c>
      <c r="CJ12" s="33">
        <v>3885</v>
      </c>
      <c r="CK12" s="33">
        <v>1212120</v>
      </c>
      <c r="CL12" s="33">
        <v>296</v>
      </c>
      <c r="CM12" s="33">
        <v>3885</v>
      </c>
      <c r="CN12" s="33">
        <v>1149960</v>
      </c>
      <c r="CO12" s="33">
        <v>275</v>
      </c>
      <c r="CP12" s="33">
        <v>3885</v>
      </c>
      <c r="CQ12" s="33">
        <v>1068375</v>
      </c>
      <c r="CR12" s="33">
        <v>186</v>
      </c>
      <c r="CS12" s="33">
        <v>3885</v>
      </c>
      <c r="CT12" s="33">
        <v>722610</v>
      </c>
      <c r="CU12" s="33">
        <v>253</v>
      </c>
      <c r="CV12" s="33">
        <v>3885</v>
      </c>
      <c r="CW12" s="33">
        <v>982905</v>
      </c>
      <c r="CX12" s="33">
        <v>243</v>
      </c>
      <c r="CY12" s="33">
        <v>3885</v>
      </c>
      <c r="CZ12" s="33">
        <v>944055</v>
      </c>
      <c r="DA12" s="33">
        <v>211</v>
      </c>
      <c r="DB12" s="33">
        <v>3885</v>
      </c>
      <c r="DC12" s="33">
        <v>819735</v>
      </c>
      <c r="DD12" s="33"/>
      <c r="DE12" s="33"/>
      <c r="DF12" s="66"/>
    </row>
    <row r="13" spans="1:110" ht="24.95" customHeight="1">
      <c r="A13" s="58">
        <v>4</v>
      </c>
      <c r="B13" s="59" t="s">
        <v>59</v>
      </c>
      <c r="C13" s="60" t="s">
        <v>50</v>
      </c>
      <c r="D13" s="61" t="s">
        <v>51</v>
      </c>
      <c r="E13" s="62" t="s">
        <v>60</v>
      </c>
      <c r="F13" s="60" t="s">
        <v>53</v>
      </c>
      <c r="G13" s="63">
        <v>1658</v>
      </c>
      <c r="H13" s="64">
        <v>1929.8999997659744</v>
      </c>
      <c r="I13" s="64">
        <v>3199774.1996119856</v>
      </c>
      <c r="J13" s="33">
        <v>4000</v>
      </c>
      <c r="K13" s="33">
        <v>1929.9</v>
      </c>
      <c r="L13" s="33">
        <f t="shared" si="10"/>
        <v>7719600</v>
      </c>
      <c r="M13" s="34">
        <v>3357</v>
      </c>
      <c r="N13" s="33">
        <f t="shared" si="11"/>
        <v>1929.8999999314221</v>
      </c>
      <c r="O13" s="33">
        <f t="shared" si="12"/>
        <v>6478674.2997697843</v>
      </c>
      <c r="P13" s="137">
        <f>G13+J13-M13</f>
        <v>2301</v>
      </c>
      <c r="Q13" s="34">
        <f t="shared" si="14"/>
        <v>1929.8999999314221</v>
      </c>
      <c r="R13" s="33">
        <f t="shared" si="15"/>
        <v>4440699.8998422027</v>
      </c>
      <c r="S13" s="36">
        <v>46968</v>
      </c>
      <c r="T13" s="34">
        <v>27020</v>
      </c>
      <c r="U13" s="34">
        <v>1929.9</v>
      </c>
      <c r="V13" s="34">
        <v>52145898</v>
      </c>
      <c r="W13" s="34">
        <v>25721</v>
      </c>
      <c r="X13" s="34">
        <v>1929.8989939818962</v>
      </c>
      <c r="Y13" s="34">
        <v>49638932.024208352</v>
      </c>
      <c r="Z13" s="34">
        <v>4000</v>
      </c>
      <c r="AA13" s="33">
        <v>1929.8999989806541</v>
      </c>
      <c r="AB13" s="34">
        <f t="shared" si="16"/>
        <v>7719599.9959226167</v>
      </c>
      <c r="AC13" s="33">
        <v>1002</v>
      </c>
      <c r="AD13" s="33">
        <v>1929.8741756991562</v>
      </c>
      <c r="AE13" s="33">
        <v>1933733.9240505546</v>
      </c>
      <c r="AF13" s="65">
        <f t="shared" ref="AF13:AF75" si="21">SUMIF($AI$6:$BR$6,$AF$6,AI13:BR13)</f>
        <v>27020</v>
      </c>
      <c r="AG13" s="33">
        <f t="shared" si="18"/>
        <v>1929.9</v>
      </c>
      <c r="AH13" s="65">
        <f t="shared" si="19"/>
        <v>52145898</v>
      </c>
      <c r="AI13" s="33">
        <v>2700</v>
      </c>
      <c r="AJ13" s="33">
        <v>1929.9</v>
      </c>
      <c r="AK13" s="33">
        <v>5210730</v>
      </c>
      <c r="AL13" s="33"/>
      <c r="AM13" s="33"/>
      <c r="AN13" s="33"/>
      <c r="AO13" s="33">
        <v>2300</v>
      </c>
      <c r="AP13" s="33">
        <v>1929.9</v>
      </c>
      <c r="AQ13" s="33">
        <v>4438770</v>
      </c>
      <c r="AR13" s="33">
        <v>2100</v>
      </c>
      <c r="AS13" s="33">
        <v>1929.9</v>
      </c>
      <c r="AT13" s="33">
        <v>4052790</v>
      </c>
      <c r="AU13" s="33">
        <v>2300</v>
      </c>
      <c r="AV13" s="33">
        <v>1929.9</v>
      </c>
      <c r="AW13" s="33">
        <v>4438770</v>
      </c>
      <c r="AX13" s="33">
        <v>2300</v>
      </c>
      <c r="AY13" s="33">
        <v>1929.9</v>
      </c>
      <c r="AZ13" s="33">
        <v>4438770</v>
      </c>
      <c r="BA13" s="33">
        <v>2300</v>
      </c>
      <c r="BB13" s="33">
        <v>1929.9</v>
      </c>
      <c r="BC13" s="33">
        <v>4438770</v>
      </c>
      <c r="BD13" s="33">
        <v>2520</v>
      </c>
      <c r="BE13" s="33">
        <v>1929.9</v>
      </c>
      <c r="BF13" s="33">
        <v>4863348</v>
      </c>
      <c r="BG13" s="33">
        <v>3000</v>
      </c>
      <c r="BH13" s="33">
        <v>1929.9</v>
      </c>
      <c r="BI13" s="33">
        <v>5789700</v>
      </c>
      <c r="BJ13" s="33">
        <v>3500</v>
      </c>
      <c r="BK13" s="33">
        <v>1929.9</v>
      </c>
      <c r="BL13" s="33">
        <v>6754650</v>
      </c>
      <c r="BM13" s="33">
        <v>4000</v>
      </c>
      <c r="BN13" s="33">
        <v>1929.9</v>
      </c>
      <c r="BO13" s="33">
        <v>7719600</v>
      </c>
      <c r="BP13" s="33"/>
      <c r="BQ13" s="33"/>
      <c r="BR13" s="33"/>
      <c r="BT13" s="65">
        <f t="shared" si="17"/>
        <v>25721</v>
      </c>
      <c r="BU13" s="33">
        <f>IFERROR(BV13/BT13,0)</f>
        <v>1929.8989939818962</v>
      </c>
      <c r="BV13" s="65">
        <f>SUMIF($BW$6:$DF$6,$BV6,BW13:DF13)</f>
        <v>49638932.024208352</v>
      </c>
      <c r="BW13" s="33">
        <v>1785</v>
      </c>
      <c r="BX13" s="33">
        <v>1929.8930102783779</v>
      </c>
      <c r="BY13" s="33">
        <v>3444859.0233469047</v>
      </c>
      <c r="BZ13" s="33">
        <v>1611</v>
      </c>
      <c r="CA13" s="33">
        <v>1929.8930102783779</v>
      </c>
      <c r="CB13" s="33">
        <v>3109057.6395584666</v>
      </c>
      <c r="CC13" s="33">
        <v>1675</v>
      </c>
      <c r="CD13" s="33">
        <v>1929.8991792575532</v>
      </c>
      <c r="CE13" s="33">
        <v>3232581.1252564015</v>
      </c>
      <c r="CF13" s="33">
        <v>1812</v>
      </c>
      <c r="CG13" s="33">
        <v>1929.8997479012808</v>
      </c>
      <c r="CH13" s="33">
        <v>3496978.3431971208</v>
      </c>
      <c r="CI13" s="33">
        <v>1897</v>
      </c>
      <c r="CJ13" s="33">
        <v>1929.8999126716853</v>
      </c>
      <c r="CK13" s="33">
        <v>3661020.1343381871</v>
      </c>
      <c r="CL13" s="33">
        <v>2263</v>
      </c>
      <c r="CM13" s="33">
        <v>1929.8999638841087</v>
      </c>
      <c r="CN13" s="33">
        <v>4367363.6182697378</v>
      </c>
      <c r="CO13" s="33">
        <v>2614</v>
      </c>
      <c r="CP13" s="33">
        <v>1929.8999848658086</v>
      </c>
      <c r="CQ13" s="33">
        <v>5044758.5604392234</v>
      </c>
      <c r="CR13" s="33">
        <v>3145</v>
      </c>
      <c r="CS13" s="33">
        <v>1929.8999947333798</v>
      </c>
      <c r="CT13" s="33">
        <v>6069535.4834364792</v>
      </c>
      <c r="CU13" s="33">
        <v>2677</v>
      </c>
      <c r="CV13" s="33">
        <v>1929.8999989806541</v>
      </c>
      <c r="CW13" s="33">
        <v>5166342.2972712107</v>
      </c>
      <c r="CX13" s="33">
        <v>2885</v>
      </c>
      <c r="CY13" s="33">
        <v>1929.8999997659744</v>
      </c>
      <c r="CZ13" s="33">
        <v>5567761.4993248358</v>
      </c>
      <c r="DA13" s="33">
        <v>3357</v>
      </c>
      <c r="DB13" s="33">
        <v>1929.8999999314221</v>
      </c>
      <c r="DC13" s="33">
        <v>6478674.2997697843</v>
      </c>
      <c r="DD13" s="33"/>
      <c r="DE13" s="33"/>
      <c r="DF13" s="66"/>
    </row>
    <row r="14" spans="1:110" ht="24.95" customHeight="1">
      <c r="A14" s="58">
        <v>5</v>
      </c>
      <c r="B14" s="59" t="s">
        <v>61</v>
      </c>
      <c r="C14" s="60" t="s">
        <v>50</v>
      </c>
      <c r="D14" s="61" t="s">
        <v>62</v>
      </c>
      <c r="E14" s="62" t="s">
        <v>63</v>
      </c>
      <c r="F14" s="60" t="s">
        <v>53</v>
      </c>
      <c r="G14" s="63">
        <v>495</v>
      </c>
      <c r="H14" s="64">
        <v>556.8765213235032</v>
      </c>
      <c r="I14" s="64">
        <v>275653.87805513409</v>
      </c>
      <c r="J14" s="33">
        <v>1000</v>
      </c>
      <c r="K14" s="33">
        <v>556.5</v>
      </c>
      <c r="L14" s="33">
        <f t="shared" si="10"/>
        <v>556500</v>
      </c>
      <c r="M14" s="34">
        <v>723</v>
      </c>
      <c r="N14" s="33">
        <f t="shared" si="11"/>
        <v>556.62466759540746</v>
      </c>
      <c r="O14" s="33">
        <f t="shared" si="12"/>
        <v>402439.63467147958</v>
      </c>
      <c r="P14" s="137">
        <f t="shared" si="13"/>
        <v>772</v>
      </c>
      <c r="Q14" s="34">
        <f t="shared" si="14"/>
        <v>556.62466759540746</v>
      </c>
      <c r="R14" s="33">
        <f t="shared" si="15"/>
        <v>429714.24338365457</v>
      </c>
      <c r="S14" s="36">
        <v>46667</v>
      </c>
      <c r="T14" s="34">
        <v>6000</v>
      </c>
      <c r="U14" s="34">
        <v>589.57500000000005</v>
      </c>
      <c r="V14" s="34">
        <v>3537450</v>
      </c>
      <c r="W14" s="34">
        <v>5430</v>
      </c>
      <c r="X14" s="34">
        <v>593.09341418588974</v>
      </c>
      <c r="Y14" s="34">
        <v>3220497.2390293814</v>
      </c>
      <c r="Z14" s="34">
        <v>1000</v>
      </c>
      <c r="AA14" s="33">
        <v>558.44536017143287</v>
      </c>
      <c r="AB14" s="34">
        <f t="shared" si="16"/>
        <v>558445.36017143284</v>
      </c>
      <c r="AC14" s="33">
        <v>202</v>
      </c>
      <c r="AD14" s="33">
        <v>558.22516046057331</v>
      </c>
      <c r="AE14" s="33">
        <v>112761.4824130358</v>
      </c>
      <c r="AF14" s="65">
        <f t="shared" si="21"/>
        <v>6000</v>
      </c>
      <c r="AG14" s="33">
        <f t="shared" si="18"/>
        <v>589.57500000000005</v>
      </c>
      <c r="AH14" s="65">
        <f t="shared" si="19"/>
        <v>3537450</v>
      </c>
      <c r="AI14" s="33">
        <v>500</v>
      </c>
      <c r="AJ14" s="33">
        <v>556.5</v>
      </c>
      <c r="AK14" s="33">
        <v>278250</v>
      </c>
      <c r="AL14" s="33"/>
      <c r="AM14" s="33"/>
      <c r="AN14" s="33"/>
      <c r="AO14" s="33">
        <v>300</v>
      </c>
      <c r="AP14" s="33">
        <v>840</v>
      </c>
      <c r="AQ14" s="33">
        <v>252000</v>
      </c>
      <c r="AR14" s="33">
        <v>400</v>
      </c>
      <c r="AS14" s="33">
        <v>840</v>
      </c>
      <c r="AT14" s="33">
        <v>336000</v>
      </c>
      <c r="AU14" s="33">
        <v>400</v>
      </c>
      <c r="AV14" s="33">
        <v>556.5</v>
      </c>
      <c r="AW14" s="33">
        <v>222600</v>
      </c>
      <c r="AX14" s="33">
        <v>600</v>
      </c>
      <c r="AY14" s="33">
        <v>556.5</v>
      </c>
      <c r="AZ14" s="33">
        <v>333900</v>
      </c>
      <c r="BA14" s="33">
        <v>600</v>
      </c>
      <c r="BB14" s="33">
        <v>556.5</v>
      </c>
      <c r="BC14" s="33">
        <v>333900</v>
      </c>
      <c r="BD14" s="33">
        <v>800</v>
      </c>
      <c r="BE14" s="33">
        <v>556.5</v>
      </c>
      <c r="BF14" s="33">
        <v>445200</v>
      </c>
      <c r="BG14" s="33">
        <v>400</v>
      </c>
      <c r="BH14" s="33">
        <v>556.5</v>
      </c>
      <c r="BI14" s="33">
        <v>222600</v>
      </c>
      <c r="BJ14" s="33">
        <v>1000</v>
      </c>
      <c r="BK14" s="33">
        <v>556.5</v>
      </c>
      <c r="BL14" s="33">
        <v>556500</v>
      </c>
      <c r="BM14" s="33">
        <v>1000</v>
      </c>
      <c r="BN14" s="33">
        <v>556.5</v>
      </c>
      <c r="BO14" s="33">
        <v>556500</v>
      </c>
      <c r="BP14" s="33"/>
      <c r="BQ14" s="33"/>
      <c r="BR14" s="33"/>
      <c r="BT14" s="65">
        <f t="shared" si="17"/>
        <v>5430</v>
      </c>
      <c r="BU14" s="33">
        <f t="shared" si="20"/>
        <v>593.09341418588974</v>
      </c>
      <c r="BV14" s="65">
        <f>SUMIF($BW$6:$DF$6,$BV$6,BW14:DF14)</f>
        <v>3220497.2390293814</v>
      </c>
      <c r="BW14" s="33">
        <v>365</v>
      </c>
      <c r="BX14" s="33">
        <v>556.99641369378321</v>
      </c>
      <c r="BY14" s="33">
        <v>203303.69099823089</v>
      </c>
      <c r="BZ14" s="33">
        <v>337</v>
      </c>
      <c r="CA14" s="33">
        <v>556.99641369378321</v>
      </c>
      <c r="CB14" s="33">
        <v>187707.79141480493</v>
      </c>
      <c r="CC14" s="33">
        <v>210</v>
      </c>
      <c r="CD14" s="33">
        <v>840</v>
      </c>
      <c r="CE14" s="33">
        <v>176400</v>
      </c>
      <c r="CF14" s="33">
        <v>256</v>
      </c>
      <c r="CG14" s="33">
        <v>840</v>
      </c>
      <c r="CH14" s="33">
        <v>215040</v>
      </c>
      <c r="CI14" s="33">
        <v>435</v>
      </c>
      <c r="CJ14" s="33">
        <v>661.1356466876972</v>
      </c>
      <c r="CK14" s="33">
        <v>287594.00630914827</v>
      </c>
      <c r="CL14" s="33">
        <v>421</v>
      </c>
      <c r="CM14" s="33">
        <v>582.56069297978945</v>
      </c>
      <c r="CN14" s="33">
        <v>245258.05174449136</v>
      </c>
      <c r="CO14" s="33">
        <v>542</v>
      </c>
      <c r="CP14" s="33">
        <v>566.57253777746462</v>
      </c>
      <c r="CQ14" s="33">
        <v>307082.31547538581</v>
      </c>
      <c r="CR14" s="33">
        <v>752</v>
      </c>
      <c r="CS14" s="33">
        <v>560.05309585030307</v>
      </c>
      <c r="CT14" s="33">
        <v>421159.92807942792</v>
      </c>
      <c r="CU14" s="33">
        <v>644</v>
      </c>
      <c r="CV14" s="33">
        <v>558.44536017143287</v>
      </c>
      <c r="CW14" s="33">
        <v>359638.81195040274</v>
      </c>
      <c r="CX14" s="33">
        <v>745</v>
      </c>
      <c r="CY14" s="33">
        <v>556.8765213235032</v>
      </c>
      <c r="CZ14" s="33">
        <v>414873.0083860099</v>
      </c>
      <c r="DA14" s="33">
        <v>723</v>
      </c>
      <c r="DB14" s="33">
        <v>556.62466759540746</v>
      </c>
      <c r="DC14" s="33">
        <v>402439.63467147958</v>
      </c>
      <c r="DD14" s="33"/>
      <c r="DE14" s="33"/>
      <c r="DF14" s="66"/>
    </row>
    <row r="15" spans="1:110" ht="24.95" customHeight="1">
      <c r="A15" s="58">
        <v>6</v>
      </c>
      <c r="B15" s="59" t="s">
        <v>64</v>
      </c>
      <c r="C15" s="60" t="s">
        <v>50</v>
      </c>
      <c r="D15" s="61" t="s">
        <v>65</v>
      </c>
      <c r="E15" s="62" t="s">
        <v>56</v>
      </c>
      <c r="F15" s="60" t="s">
        <v>53</v>
      </c>
      <c r="G15" s="63">
        <v>93</v>
      </c>
      <c r="H15" s="64">
        <v>364.34999967494701</v>
      </c>
      <c r="I15" s="64">
        <v>33073</v>
      </c>
      <c r="J15" s="33">
        <v>500</v>
      </c>
      <c r="K15" s="33">
        <v>364.35</v>
      </c>
      <c r="L15" s="33">
        <f t="shared" si="10"/>
        <v>182175</v>
      </c>
      <c r="M15" s="34">
        <v>295</v>
      </c>
      <c r="N15" s="33">
        <f t="shared" si="11"/>
        <v>364.34999994902205</v>
      </c>
      <c r="O15" s="33">
        <f t="shared" si="12"/>
        <v>107483.2499849615</v>
      </c>
      <c r="P15" s="137">
        <f t="shared" si="13"/>
        <v>298</v>
      </c>
      <c r="Q15" s="34">
        <f t="shared" si="14"/>
        <v>364.34999994902205</v>
      </c>
      <c r="R15" s="33">
        <v>107765</v>
      </c>
      <c r="S15" s="36">
        <v>46835</v>
      </c>
      <c r="T15" s="34">
        <v>2300</v>
      </c>
      <c r="U15" s="34">
        <v>364.35043478260872</v>
      </c>
      <c r="V15" s="34">
        <v>838006</v>
      </c>
      <c r="W15" s="34">
        <v>2221</v>
      </c>
      <c r="X15" s="34">
        <v>364.34904681201488</v>
      </c>
      <c r="Y15" s="34">
        <v>809219.23296948499</v>
      </c>
      <c r="Z15" s="34">
        <v>500</v>
      </c>
      <c r="AA15" s="33">
        <v>364.34999925280022</v>
      </c>
      <c r="AB15" s="34">
        <f t="shared" si="16"/>
        <v>182174.99962640009</v>
      </c>
      <c r="AC15" s="33">
        <v>219</v>
      </c>
      <c r="AD15" s="33">
        <v>364.34033312462827</v>
      </c>
      <c r="AE15" s="33">
        <v>79792</v>
      </c>
      <c r="AF15" s="65">
        <f t="shared" si="21"/>
        <v>2300</v>
      </c>
      <c r="AG15" s="33">
        <f t="shared" si="18"/>
        <v>364.35043478260872</v>
      </c>
      <c r="AH15" s="65">
        <f t="shared" si="19"/>
        <v>838006</v>
      </c>
      <c r="AI15" s="33">
        <v>500</v>
      </c>
      <c r="AJ15" s="33">
        <v>364.35</v>
      </c>
      <c r="AK15" s="33">
        <v>182175</v>
      </c>
      <c r="AL15" s="33"/>
      <c r="AM15" s="33"/>
      <c r="AN15" s="33"/>
      <c r="AO15" s="33">
        <v>200</v>
      </c>
      <c r="AP15" s="33">
        <v>364.35</v>
      </c>
      <c r="AQ15" s="33">
        <v>72870</v>
      </c>
      <c r="AR15" s="33">
        <v>100</v>
      </c>
      <c r="AS15" s="33">
        <v>364.35</v>
      </c>
      <c r="AT15" s="33">
        <v>36435</v>
      </c>
      <c r="AU15" s="33">
        <v>200</v>
      </c>
      <c r="AV15" s="33">
        <v>364.35</v>
      </c>
      <c r="AW15" s="33">
        <v>72870</v>
      </c>
      <c r="AX15" s="33">
        <v>200</v>
      </c>
      <c r="AY15" s="33">
        <v>364.35</v>
      </c>
      <c r="AZ15" s="33">
        <v>72870</v>
      </c>
      <c r="BA15" s="33">
        <v>200</v>
      </c>
      <c r="BB15" s="33">
        <v>364.35</v>
      </c>
      <c r="BC15" s="33">
        <v>72870</v>
      </c>
      <c r="BD15" s="33">
        <v>200</v>
      </c>
      <c r="BE15" s="33">
        <v>364.35</v>
      </c>
      <c r="BF15" s="33">
        <v>72870</v>
      </c>
      <c r="BG15" s="33">
        <v>100</v>
      </c>
      <c r="BH15" s="33">
        <v>364.35</v>
      </c>
      <c r="BI15" s="33">
        <v>36435</v>
      </c>
      <c r="BJ15" s="33">
        <v>100</v>
      </c>
      <c r="BK15" s="33">
        <v>364.35</v>
      </c>
      <c r="BL15" s="33">
        <v>36436</v>
      </c>
      <c r="BM15" s="33">
        <v>500</v>
      </c>
      <c r="BN15" s="33">
        <v>364.35</v>
      </c>
      <c r="BO15" s="33">
        <v>182175</v>
      </c>
      <c r="BP15" s="33"/>
      <c r="BQ15" s="33"/>
      <c r="BR15" s="33"/>
      <c r="BT15" s="65">
        <f t="shared" si="17"/>
        <v>2221</v>
      </c>
      <c r="BU15" s="33">
        <f t="shared" si="20"/>
        <v>364.34904681201488</v>
      </c>
      <c r="BV15" s="65">
        <f>SUMIF($BW$6:$DF$6,$BV$6,BW15:DF15)</f>
        <v>809219.23296948499</v>
      </c>
      <c r="BW15" s="33">
        <v>312</v>
      </c>
      <c r="BX15" s="33">
        <v>364.34705556925394</v>
      </c>
      <c r="BY15" s="33">
        <v>113676.28133760723</v>
      </c>
      <c r="BZ15" s="33">
        <v>351</v>
      </c>
      <c r="CA15" s="33">
        <v>364.34705556925394</v>
      </c>
      <c r="CB15" s="33">
        <v>127885.81650480813</v>
      </c>
      <c r="CC15" s="33">
        <v>213</v>
      </c>
      <c r="CD15" s="33">
        <v>364.3493559057743</v>
      </c>
      <c r="CE15" s="33">
        <v>77606.412807929926</v>
      </c>
      <c r="CF15" s="33">
        <v>102</v>
      </c>
      <c r="CG15" s="33">
        <v>364.34980632131675</v>
      </c>
      <c r="CH15" s="33">
        <v>37163.68024477431</v>
      </c>
      <c r="CI15" s="33">
        <v>156</v>
      </c>
      <c r="CJ15" s="33">
        <v>364.34996705051446</v>
      </c>
      <c r="CK15" s="33">
        <v>56838.594859880257</v>
      </c>
      <c r="CL15" s="33">
        <v>173</v>
      </c>
      <c r="CM15" s="33">
        <v>364.34999017296042</v>
      </c>
      <c r="CN15" s="33">
        <v>63032.548299922149</v>
      </c>
      <c r="CO15" s="33">
        <v>194</v>
      </c>
      <c r="CP15" s="33">
        <v>364.34999647234474</v>
      </c>
      <c r="CQ15" s="33">
        <v>70683.899315634873</v>
      </c>
      <c r="CR15" s="33">
        <v>185</v>
      </c>
      <c r="CS15" s="33">
        <v>364.34999869099585</v>
      </c>
      <c r="CT15" s="33">
        <v>67404.74975783423</v>
      </c>
      <c r="CU15" s="33">
        <v>156</v>
      </c>
      <c r="CV15" s="33">
        <v>364.34999925280022</v>
      </c>
      <c r="CW15" s="33">
        <v>56838.599883436837</v>
      </c>
      <c r="CX15" s="33">
        <v>84</v>
      </c>
      <c r="CY15" s="33">
        <v>364.34999967494701</v>
      </c>
      <c r="CZ15" s="33">
        <v>30605.399972695548</v>
      </c>
      <c r="DA15" s="33">
        <v>295</v>
      </c>
      <c r="DB15" s="33">
        <v>364.34999994902205</v>
      </c>
      <c r="DC15" s="33">
        <v>107483.2499849615</v>
      </c>
      <c r="DD15" s="33"/>
      <c r="DE15" s="33"/>
      <c r="DF15" s="66"/>
    </row>
    <row r="16" spans="1:110" ht="24.95" customHeight="1">
      <c r="A16" s="58">
        <v>7</v>
      </c>
      <c r="B16" s="59" t="s">
        <v>66</v>
      </c>
      <c r="C16" s="60" t="s">
        <v>50</v>
      </c>
      <c r="D16" s="67" t="s">
        <v>67</v>
      </c>
      <c r="E16" s="68" t="s">
        <v>68</v>
      </c>
      <c r="F16" s="60" t="s">
        <v>53</v>
      </c>
      <c r="G16" s="63">
        <v>188</v>
      </c>
      <c r="H16" s="64">
        <v>359.10000000000008</v>
      </c>
      <c r="I16" s="64">
        <v>67510.800000000017</v>
      </c>
      <c r="J16" s="33">
        <v>500</v>
      </c>
      <c r="K16" s="33">
        <v>359.1</v>
      </c>
      <c r="L16" s="33">
        <f t="shared" si="10"/>
        <v>179550</v>
      </c>
      <c r="M16" s="70">
        <v>342</v>
      </c>
      <c r="N16" s="33">
        <f t="shared" si="11"/>
        <v>359.1</v>
      </c>
      <c r="O16" s="33">
        <f t="shared" si="12"/>
        <v>122812.20000000001</v>
      </c>
      <c r="P16" s="137">
        <f t="shared" si="13"/>
        <v>346</v>
      </c>
      <c r="Q16" s="34">
        <f t="shared" si="14"/>
        <v>359.1</v>
      </c>
      <c r="R16" s="33">
        <f t="shared" si="15"/>
        <v>124248.6</v>
      </c>
      <c r="S16" s="71">
        <v>46958</v>
      </c>
      <c r="T16" s="70">
        <v>5400</v>
      </c>
      <c r="U16" s="70">
        <v>359.1</v>
      </c>
      <c r="V16" s="70">
        <v>1939140</v>
      </c>
      <c r="W16" s="70">
        <v>5258</v>
      </c>
      <c r="X16" s="70">
        <v>359.1</v>
      </c>
      <c r="Y16" s="70">
        <v>1888147.8</v>
      </c>
      <c r="Z16" s="70">
        <v>500</v>
      </c>
      <c r="AA16" s="33">
        <v>359.1</v>
      </c>
      <c r="AB16" s="34">
        <f t="shared" si="16"/>
        <v>179550</v>
      </c>
      <c r="AC16" s="69">
        <v>204</v>
      </c>
      <c r="AD16" s="69">
        <v>359.1</v>
      </c>
      <c r="AE16" s="69">
        <v>73256.400000000009</v>
      </c>
      <c r="AF16" s="30">
        <f t="shared" si="21"/>
        <v>5400</v>
      </c>
      <c r="AG16" s="69">
        <f t="shared" si="18"/>
        <v>359.1</v>
      </c>
      <c r="AH16" s="30">
        <f t="shared" si="19"/>
        <v>1939140</v>
      </c>
      <c r="AI16" s="69">
        <v>1000</v>
      </c>
      <c r="AJ16" s="69">
        <v>359.1</v>
      </c>
      <c r="AK16" s="69">
        <v>359100</v>
      </c>
      <c r="AL16" s="69"/>
      <c r="AM16" s="69"/>
      <c r="AN16" s="69"/>
      <c r="AO16" s="69">
        <v>600</v>
      </c>
      <c r="AP16" s="69">
        <v>359.1</v>
      </c>
      <c r="AQ16" s="69">
        <v>215460</v>
      </c>
      <c r="AR16" s="69">
        <v>500</v>
      </c>
      <c r="AS16" s="69">
        <v>359.1</v>
      </c>
      <c r="AT16" s="69">
        <v>179550</v>
      </c>
      <c r="AU16" s="69">
        <v>400</v>
      </c>
      <c r="AV16" s="69">
        <v>359.1</v>
      </c>
      <c r="AW16" s="69">
        <v>143640</v>
      </c>
      <c r="AX16" s="69">
        <v>500</v>
      </c>
      <c r="AY16" s="69">
        <v>359.1</v>
      </c>
      <c r="AZ16" s="69">
        <v>179550</v>
      </c>
      <c r="BA16" s="69">
        <v>500</v>
      </c>
      <c r="BB16" s="69">
        <v>359.1</v>
      </c>
      <c r="BC16" s="69">
        <v>179550</v>
      </c>
      <c r="BD16" s="69">
        <v>700</v>
      </c>
      <c r="BE16" s="69">
        <v>359.1</v>
      </c>
      <c r="BF16" s="69">
        <v>251370.00000000003</v>
      </c>
      <c r="BG16" s="69">
        <v>500</v>
      </c>
      <c r="BH16" s="69">
        <v>359.1</v>
      </c>
      <c r="BI16" s="69">
        <v>179550</v>
      </c>
      <c r="BJ16" s="69">
        <v>200</v>
      </c>
      <c r="BK16" s="69">
        <v>359.1</v>
      </c>
      <c r="BL16" s="69">
        <v>71820</v>
      </c>
      <c r="BM16" s="69">
        <v>500</v>
      </c>
      <c r="BN16" s="69">
        <v>359.1</v>
      </c>
      <c r="BO16" s="69">
        <v>179550</v>
      </c>
      <c r="BP16" s="69"/>
      <c r="BQ16" s="69"/>
      <c r="BR16" s="69"/>
      <c r="BT16" s="30">
        <f t="shared" si="17"/>
        <v>5258</v>
      </c>
      <c r="BU16" s="69">
        <f t="shared" si="20"/>
        <v>359.1</v>
      </c>
      <c r="BV16" s="30">
        <f>SUMIF($BW$6:$DF$6,$BV$6,BW16:DF16)</f>
        <v>1888147.8</v>
      </c>
      <c r="BW16" s="69">
        <v>560</v>
      </c>
      <c r="BX16" s="69">
        <v>359.1</v>
      </c>
      <c r="BY16" s="69">
        <v>201096</v>
      </c>
      <c r="BZ16" s="69">
        <v>524</v>
      </c>
      <c r="CA16" s="69">
        <v>359.1</v>
      </c>
      <c r="CB16" s="69">
        <v>188168.40000000002</v>
      </c>
      <c r="CC16" s="69">
        <v>376</v>
      </c>
      <c r="CD16" s="69">
        <v>359.1</v>
      </c>
      <c r="CE16" s="69">
        <v>135021.6</v>
      </c>
      <c r="CF16" s="69">
        <v>467</v>
      </c>
      <c r="CG16" s="69">
        <v>359.1</v>
      </c>
      <c r="CH16" s="69">
        <v>167699.70000000001</v>
      </c>
      <c r="CI16" s="69">
        <v>512</v>
      </c>
      <c r="CJ16" s="69">
        <v>359.1</v>
      </c>
      <c r="CK16" s="69">
        <v>183859.20000000001</v>
      </c>
      <c r="CL16" s="69">
        <v>490</v>
      </c>
      <c r="CM16" s="69">
        <v>359.1</v>
      </c>
      <c r="CN16" s="69">
        <v>175959</v>
      </c>
      <c r="CO16" s="69">
        <v>548</v>
      </c>
      <c r="CP16" s="69">
        <v>359.1</v>
      </c>
      <c r="CQ16" s="69">
        <v>196786.80000000002</v>
      </c>
      <c r="CR16" s="69">
        <v>645</v>
      </c>
      <c r="CS16" s="69">
        <v>359.10000000000008</v>
      </c>
      <c r="CT16" s="69">
        <v>231619.50000000006</v>
      </c>
      <c r="CU16" s="69">
        <v>593</v>
      </c>
      <c r="CV16" s="69">
        <v>359.1</v>
      </c>
      <c r="CW16" s="69">
        <v>212946.30000000002</v>
      </c>
      <c r="CX16" s="69">
        <v>201</v>
      </c>
      <c r="CY16" s="69">
        <v>359.10000000000008</v>
      </c>
      <c r="CZ16" s="69">
        <v>72179.10000000002</v>
      </c>
      <c r="DA16" s="69">
        <v>342</v>
      </c>
      <c r="DB16" s="69">
        <v>359.1</v>
      </c>
      <c r="DC16" s="69">
        <v>122812.20000000001</v>
      </c>
      <c r="DD16" s="69"/>
      <c r="DE16" s="69"/>
      <c r="DF16" s="72"/>
    </row>
    <row r="17" spans="1:110" ht="24.95" customHeight="1">
      <c r="A17" s="58">
        <v>8</v>
      </c>
      <c r="B17" s="59" t="s">
        <v>69</v>
      </c>
      <c r="C17" s="60" t="s">
        <v>50</v>
      </c>
      <c r="D17" s="61" t="s">
        <v>70</v>
      </c>
      <c r="E17" s="62" t="s">
        <v>71</v>
      </c>
      <c r="F17" s="60" t="s">
        <v>53</v>
      </c>
      <c r="G17" s="63">
        <v>75</v>
      </c>
      <c r="H17" s="64">
        <v>308.70000000000005</v>
      </c>
      <c r="I17" s="64">
        <v>23152.500000000004</v>
      </c>
      <c r="J17" s="33"/>
      <c r="K17" s="33">
        <v>0</v>
      </c>
      <c r="L17" s="33">
        <f t="shared" si="10"/>
        <v>0</v>
      </c>
      <c r="M17" s="34">
        <v>75</v>
      </c>
      <c r="N17" s="33">
        <f t="shared" si="11"/>
        <v>308.70000000000005</v>
      </c>
      <c r="O17" s="33">
        <f t="shared" si="12"/>
        <v>23152.500000000004</v>
      </c>
      <c r="P17" s="137">
        <f t="shared" si="13"/>
        <v>0</v>
      </c>
      <c r="Q17" s="34">
        <f t="shared" si="14"/>
        <v>308.70000000000005</v>
      </c>
      <c r="R17" s="33">
        <f t="shared" si="15"/>
        <v>0</v>
      </c>
      <c r="S17" s="36">
        <v>46845</v>
      </c>
      <c r="T17" s="34">
        <v>1700</v>
      </c>
      <c r="U17" s="34">
        <v>308.7</v>
      </c>
      <c r="V17" s="34">
        <v>524790</v>
      </c>
      <c r="W17" s="34">
        <v>1918</v>
      </c>
      <c r="X17" s="34">
        <v>308.70000000000005</v>
      </c>
      <c r="Y17" s="34">
        <v>592086.60000000009</v>
      </c>
      <c r="Z17" s="34">
        <v>300</v>
      </c>
      <c r="AA17" s="33">
        <v>308.70000000000005</v>
      </c>
      <c r="AB17" s="34">
        <f t="shared" si="16"/>
        <v>92610.000000000015</v>
      </c>
      <c r="AC17" s="33">
        <v>218</v>
      </c>
      <c r="AD17" s="33">
        <v>308.69999999999993</v>
      </c>
      <c r="AE17" s="33">
        <v>67296.599999999991</v>
      </c>
      <c r="AF17" s="65">
        <f t="shared" si="21"/>
        <v>1700</v>
      </c>
      <c r="AG17" s="33">
        <f t="shared" si="18"/>
        <v>308.7</v>
      </c>
      <c r="AH17" s="65">
        <f t="shared" si="19"/>
        <v>524790</v>
      </c>
      <c r="AI17" s="33"/>
      <c r="AJ17" s="33">
        <v>0</v>
      </c>
      <c r="AK17" s="33">
        <v>0</v>
      </c>
      <c r="AL17" s="33"/>
      <c r="AM17" s="33"/>
      <c r="AN17" s="33"/>
      <c r="AO17" s="33">
        <v>300</v>
      </c>
      <c r="AP17" s="33">
        <v>308.7</v>
      </c>
      <c r="AQ17" s="33">
        <v>92610</v>
      </c>
      <c r="AR17" s="33">
        <v>300</v>
      </c>
      <c r="AS17" s="33">
        <v>308.7</v>
      </c>
      <c r="AT17" s="33">
        <v>92610</v>
      </c>
      <c r="AU17" s="33">
        <v>200</v>
      </c>
      <c r="AV17" s="33">
        <v>308.7</v>
      </c>
      <c r="AW17" s="33">
        <v>61740</v>
      </c>
      <c r="AX17" s="33">
        <v>300</v>
      </c>
      <c r="AY17" s="33">
        <v>308.7</v>
      </c>
      <c r="AZ17" s="33">
        <v>92610</v>
      </c>
      <c r="BA17" s="33">
        <v>300</v>
      </c>
      <c r="BB17" s="33">
        <v>308.7</v>
      </c>
      <c r="BC17" s="33">
        <v>92610</v>
      </c>
      <c r="BD17" s="33">
        <v>300</v>
      </c>
      <c r="BE17" s="33">
        <v>308.7</v>
      </c>
      <c r="BF17" s="33">
        <v>92610</v>
      </c>
      <c r="BG17" s="33"/>
      <c r="BH17" s="33"/>
      <c r="BI17" s="33">
        <v>0</v>
      </c>
      <c r="BJ17" s="33"/>
      <c r="BK17" s="33">
        <v>0</v>
      </c>
      <c r="BL17" s="33">
        <v>0</v>
      </c>
      <c r="BM17" s="33"/>
      <c r="BN17" s="33">
        <v>0</v>
      </c>
      <c r="BO17" s="33">
        <v>0</v>
      </c>
      <c r="BP17" s="33"/>
      <c r="BQ17" s="33"/>
      <c r="BR17" s="33"/>
      <c r="BT17" s="65">
        <f t="shared" si="17"/>
        <v>1918</v>
      </c>
      <c r="BU17" s="33">
        <f t="shared" si="20"/>
        <v>308.70000000000005</v>
      </c>
      <c r="BV17" s="65">
        <f t="shared" ref="BV17:BV62" si="22">SUMIF($BW$6:$DF$6,$BV$6,BW17:DF17)</f>
        <v>592086.60000000009</v>
      </c>
      <c r="BW17" s="33">
        <v>124</v>
      </c>
      <c r="BX17" s="33">
        <v>308.69999999999993</v>
      </c>
      <c r="BY17" s="33">
        <v>38278.799999999988</v>
      </c>
      <c r="BZ17" s="33">
        <v>68</v>
      </c>
      <c r="CA17" s="33">
        <v>308.69999999999993</v>
      </c>
      <c r="CB17" s="33">
        <v>20991.599999999995</v>
      </c>
      <c r="CC17" s="33">
        <v>180</v>
      </c>
      <c r="CD17" s="33">
        <v>308.7</v>
      </c>
      <c r="CE17" s="33">
        <v>55566</v>
      </c>
      <c r="CF17" s="33">
        <v>305</v>
      </c>
      <c r="CG17" s="33">
        <v>308.70000000000005</v>
      </c>
      <c r="CH17" s="33">
        <v>94153.500000000015</v>
      </c>
      <c r="CI17" s="33">
        <v>288</v>
      </c>
      <c r="CJ17" s="33">
        <v>308.70000000000005</v>
      </c>
      <c r="CK17" s="33">
        <v>88905.600000000006</v>
      </c>
      <c r="CL17" s="33">
        <v>231</v>
      </c>
      <c r="CM17" s="33">
        <v>308.7</v>
      </c>
      <c r="CN17" s="33">
        <v>71309.7</v>
      </c>
      <c r="CO17" s="33">
        <v>261</v>
      </c>
      <c r="CP17" s="33">
        <v>308.7</v>
      </c>
      <c r="CQ17" s="33">
        <v>80570.7</v>
      </c>
      <c r="CR17" s="33">
        <v>57</v>
      </c>
      <c r="CS17" s="33">
        <v>308.70000000000005</v>
      </c>
      <c r="CT17" s="33">
        <v>17595.900000000001</v>
      </c>
      <c r="CU17" s="33">
        <v>244</v>
      </c>
      <c r="CV17" s="33">
        <v>308.70000000000005</v>
      </c>
      <c r="CW17" s="33">
        <v>75322.800000000017</v>
      </c>
      <c r="CX17" s="33">
        <v>85</v>
      </c>
      <c r="CY17" s="33">
        <v>308.70000000000005</v>
      </c>
      <c r="CZ17" s="33">
        <v>26239.500000000004</v>
      </c>
      <c r="DA17" s="33">
        <v>75</v>
      </c>
      <c r="DB17" s="33">
        <v>308.70000000000005</v>
      </c>
      <c r="DC17" s="33">
        <v>23152.500000000004</v>
      </c>
      <c r="DD17" s="33"/>
      <c r="DE17" s="33"/>
      <c r="DF17" s="66"/>
    </row>
    <row r="18" spans="1:110" ht="24.95" customHeight="1">
      <c r="A18" s="58">
        <v>9</v>
      </c>
      <c r="B18" s="59" t="s">
        <v>72</v>
      </c>
      <c r="C18" s="60" t="s">
        <v>50</v>
      </c>
      <c r="D18" s="61" t="s">
        <v>73</v>
      </c>
      <c r="E18" s="62" t="s">
        <v>71</v>
      </c>
      <c r="F18" s="60" t="s">
        <v>53</v>
      </c>
      <c r="G18" s="63">
        <v>0</v>
      </c>
      <c r="H18" s="64">
        <v>2952.6</v>
      </c>
      <c r="I18" s="64">
        <v>0</v>
      </c>
      <c r="J18" s="33"/>
      <c r="K18" s="33">
        <v>0</v>
      </c>
      <c r="L18" s="33">
        <f t="shared" si="10"/>
        <v>0</v>
      </c>
      <c r="M18" s="34"/>
      <c r="N18" s="33">
        <f t="shared" si="11"/>
        <v>0</v>
      </c>
      <c r="O18" s="33">
        <f t="shared" si="12"/>
        <v>0</v>
      </c>
      <c r="P18" s="137">
        <f t="shared" si="13"/>
        <v>0</v>
      </c>
      <c r="Q18" s="34">
        <f t="shared" si="14"/>
        <v>0</v>
      </c>
      <c r="R18" s="33">
        <f t="shared" si="15"/>
        <v>0</v>
      </c>
      <c r="S18" s="36">
        <v>46830</v>
      </c>
      <c r="T18" s="34">
        <v>1200</v>
      </c>
      <c r="U18" s="34">
        <v>2952.6</v>
      </c>
      <c r="V18" s="34">
        <v>3543120</v>
      </c>
      <c r="W18" s="34">
        <v>1403</v>
      </c>
      <c r="X18" s="34">
        <v>2952.5378461340511</v>
      </c>
      <c r="Y18" s="34">
        <v>4142410.5981260738</v>
      </c>
      <c r="Z18" s="34">
        <v>100</v>
      </c>
      <c r="AA18" s="33">
        <v>2952.6</v>
      </c>
      <c r="AB18" s="34">
        <f t="shared" si="16"/>
        <v>295260</v>
      </c>
      <c r="AC18" s="33">
        <v>203</v>
      </c>
      <c r="AD18" s="33">
        <v>2952.1704341185896</v>
      </c>
      <c r="AE18" s="33">
        <v>599290.59812607372</v>
      </c>
      <c r="AF18" s="65">
        <f t="shared" si="21"/>
        <v>1200</v>
      </c>
      <c r="AG18" s="33">
        <f t="shared" si="18"/>
        <v>2952.6</v>
      </c>
      <c r="AH18" s="65">
        <f t="shared" si="19"/>
        <v>3543120</v>
      </c>
      <c r="AI18" s="33">
        <v>300</v>
      </c>
      <c r="AJ18" s="33">
        <v>2952.6</v>
      </c>
      <c r="AK18" s="33">
        <v>885780</v>
      </c>
      <c r="AL18" s="33"/>
      <c r="AM18" s="33"/>
      <c r="AN18" s="33"/>
      <c r="AO18" s="33">
        <v>200</v>
      </c>
      <c r="AP18" s="33">
        <v>2952.6</v>
      </c>
      <c r="AQ18" s="33">
        <v>590520</v>
      </c>
      <c r="AR18" s="33">
        <v>200</v>
      </c>
      <c r="AS18" s="33">
        <v>2952.6</v>
      </c>
      <c r="AT18" s="33">
        <v>590520</v>
      </c>
      <c r="AU18" s="33">
        <v>100</v>
      </c>
      <c r="AV18" s="33">
        <v>2952.6</v>
      </c>
      <c r="AW18" s="33">
        <v>295260</v>
      </c>
      <c r="AX18" s="33">
        <v>100</v>
      </c>
      <c r="AY18" s="33">
        <v>2952.6</v>
      </c>
      <c r="AZ18" s="33">
        <v>295260</v>
      </c>
      <c r="BA18" s="33">
        <v>100</v>
      </c>
      <c r="BB18" s="33">
        <v>2952.6</v>
      </c>
      <c r="BC18" s="33">
        <v>295260</v>
      </c>
      <c r="BD18" s="33">
        <v>100</v>
      </c>
      <c r="BE18" s="33">
        <v>2952.6</v>
      </c>
      <c r="BF18" s="33">
        <v>295260</v>
      </c>
      <c r="BG18" s="33">
        <v>100</v>
      </c>
      <c r="BH18" s="33">
        <v>2952.6</v>
      </c>
      <c r="BI18" s="33">
        <v>295260</v>
      </c>
      <c r="BJ18" s="33"/>
      <c r="BK18" s="33">
        <v>0</v>
      </c>
      <c r="BL18" s="33">
        <v>0</v>
      </c>
      <c r="BM18" s="33"/>
      <c r="BN18" s="33">
        <v>0</v>
      </c>
      <c r="BO18" s="33">
        <v>0</v>
      </c>
      <c r="BP18" s="33"/>
      <c r="BQ18" s="33"/>
      <c r="BR18" s="33"/>
      <c r="BT18" s="65">
        <f t="shared" si="17"/>
        <v>1403</v>
      </c>
      <c r="BU18" s="33">
        <f t="shared" si="20"/>
        <v>2952.5378461340511</v>
      </c>
      <c r="BV18" s="65">
        <f t="shared" si="22"/>
        <v>4142410.5981260738</v>
      </c>
      <c r="BW18" s="33">
        <v>298</v>
      </c>
      <c r="BX18" s="33">
        <v>2952.4266364335463</v>
      </c>
      <c r="BY18" s="33">
        <v>879823.13765719684</v>
      </c>
      <c r="BZ18" s="33">
        <v>205</v>
      </c>
      <c r="CA18" s="33">
        <v>2952.4266364335463</v>
      </c>
      <c r="CB18" s="33">
        <v>605247.46046887699</v>
      </c>
      <c r="CC18" s="33">
        <v>128</v>
      </c>
      <c r="CD18" s="33">
        <v>2952.6</v>
      </c>
      <c r="CE18" s="33">
        <v>377932.79999999999</v>
      </c>
      <c r="CF18" s="33">
        <v>153</v>
      </c>
      <c r="CG18" s="33">
        <v>2952.6</v>
      </c>
      <c r="CH18" s="33">
        <v>451747.8</v>
      </c>
      <c r="CI18" s="33">
        <v>185</v>
      </c>
      <c r="CJ18" s="33">
        <v>2952.5999999999995</v>
      </c>
      <c r="CK18" s="33">
        <v>546230.99999999988</v>
      </c>
      <c r="CL18" s="33">
        <v>101</v>
      </c>
      <c r="CM18" s="33">
        <v>2952.6</v>
      </c>
      <c r="CN18" s="33">
        <v>298212.59999999998</v>
      </c>
      <c r="CO18" s="33">
        <v>85</v>
      </c>
      <c r="CP18" s="33">
        <v>2952.6</v>
      </c>
      <c r="CQ18" s="33">
        <v>250971</v>
      </c>
      <c r="CR18" s="33">
        <v>88</v>
      </c>
      <c r="CS18" s="33">
        <v>2952.6</v>
      </c>
      <c r="CT18" s="33">
        <v>259828.8</v>
      </c>
      <c r="CU18" s="33">
        <v>112</v>
      </c>
      <c r="CV18" s="33">
        <v>2952.6</v>
      </c>
      <c r="CW18" s="33">
        <v>330691.20000000001</v>
      </c>
      <c r="CX18" s="33">
        <v>48</v>
      </c>
      <c r="CY18" s="33">
        <v>2952.6</v>
      </c>
      <c r="CZ18" s="33">
        <v>141724.79999999999</v>
      </c>
      <c r="DA18" s="33"/>
      <c r="DB18" s="33">
        <v>0</v>
      </c>
      <c r="DC18" s="33">
        <v>0</v>
      </c>
      <c r="DD18" s="33"/>
      <c r="DE18" s="33"/>
      <c r="DF18" s="66"/>
    </row>
    <row r="19" spans="1:110" ht="24.95" customHeight="1">
      <c r="A19" s="58">
        <v>10</v>
      </c>
      <c r="B19" s="59" t="s">
        <v>91</v>
      </c>
      <c r="C19" s="60" t="s">
        <v>50</v>
      </c>
      <c r="D19" s="61" t="s">
        <v>92</v>
      </c>
      <c r="E19" s="62" t="s">
        <v>93</v>
      </c>
      <c r="F19" s="60" t="s">
        <v>53</v>
      </c>
      <c r="G19" s="63">
        <v>1158</v>
      </c>
      <c r="H19" s="64">
        <v>1790.25</v>
      </c>
      <c r="I19" s="64">
        <v>2073109.5</v>
      </c>
      <c r="J19" s="33">
        <v>3000</v>
      </c>
      <c r="K19" s="33">
        <v>1790.25</v>
      </c>
      <c r="L19" s="33">
        <f t="shared" si="10"/>
        <v>5370750</v>
      </c>
      <c r="M19" s="34">
        <v>2612</v>
      </c>
      <c r="N19" s="33">
        <f t="shared" si="11"/>
        <v>1790.25</v>
      </c>
      <c r="O19" s="33">
        <f t="shared" si="12"/>
        <v>4676133</v>
      </c>
      <c r="P19" s="137">
        <f t="shared" si="13"/>
        <v>1546</v>
      </c>
      <c r="Q19" s="34">
        <f t="shared" si="14"/>
        <v>1790.25</v>
      </c>
      <c r="R19" s="33">
        <f t="shared" si="15"/>
        <v>2767726.5</v>
      </c>
      <c r="S19" s="36">
        <v>46512</v>
      </c>
      <c r="T19" s="34">
        <v>7500</v>
      </c>
      <c r="U19" s="34">
        <v>1790.25</v>
      </c>
      <c r="V19" s="34">
        <v>13426875</v>
      </c>
      <c r="W19" s="34">
        <v>5954</v>
      </c>
      <c r="X19" s="34">
        <v>1790.25</v>
      </c>
      <c r="Y19" s="34">
        <v>10659148.5</v>
      </c>
      <c r="Z19" s="34">
        <v>5000</v>
      </c>
      <c r="AA19" s="33">
        <v>1790.25</v>
      </c>
      <c r="AB19" s="34">
        <f t="shared" si="16"/>
        <v>8951250</v>
      </c>
      <c r="AC19" s="33"/>
      <c r="AD19" s="33"/>
      <c r="AE19" s="33"/>
      <c r="AF19" s="65">
        <f t="shared" si="21"/>
        <v>7500</v>
      </c>
      <c r="AG19" s="33">
        <f t="shared" si="18"/>
        <v>1790.25</v>
      </c>
      <c r="AH19" s="65">
        <f t="shared" si="19"/>
        <v>13426875</v>
      </c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>
        <v>500</v>
      </c>
      <c r="BE19" s="33">
        <v>1790.25</v>
      </c>
      <c r="BF19" s="33">
        <v>895125</v>
      </c>
      <c r="BG19" s="33">
        <v>2000</v>
      </c>
      <c r="BH19" s="33">
        <v>1790.25</v>
      </c>
      <c r="BI19" s="33">
        <v>3580500</v>
      </c>
      <c r="BJ19" s="33">
        <v>2000</v>
      </c>
      <c r="BK19" s="33">
        <v>1790.25</v>
      </c>
      <c r="BL19" s="33">
        <v>3580500</v>
      </c>
      <c r="BM19" s="33">
        <v>3000</v>
      </c>
      <c r="BN19" s="33">
        <v>1790.25</v>
      </c>
      <c r="BO19" s="33">
        <v>5370750</v>
      </c>
      <c r="BP19" s="33"/>
      <c r="BQ19" s="33"/>
      <c r="BR19" s="33"/>
      <c r="BT19" s="65">
        <f t="shared" si="17"/>
        <v>5954</v>
      </c>
      <c r="BU19" s="33">
        <f t="shared" si="20"/>
        <v>1790.25</v>
      </c>
      <c r="BV19" s="65">
        <f t="shared" si="22"/>
        <v>10659148.5</v>
      </c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>
        <v>0</v>
      </c>
      <c r="CQ19" s="33">
        <v>0</v>
      </c>
      <c r="CR19" s="33">
        <v>374</v>
      </c>
      <c r="CS19" s="33">
        <v>1790.25</v>
      </c>
      <c r="CT19" s="33">
        <v>669553.5</v>
      </c>
      <c r="CU19" s="33">
        <v>1094</v>
      </c>
      <c r="CV19" s="33">
        <v>1790.25</v>
      </c>
      <c r="CW19" s="33">
        <v>1958533.5</v>
      </c>
      <c r="CX19" s="33">
        <v>1874</v>
      </c>
      <c r="CY19" s="33">
        <v>1790.25</v>
      </c>
      <c r="CZ19" s="33">
        <v>3354928.5</v>
      </c>
      <c r="DA19" s="33">
        <v>2612</v>
      </c>
      <c r="DB19" s="33">
        <v>1790.25</v>
      </c>
      <c r="DC19" s="33">
        <v>4676133</v>
      </c>
      <c r="DD19" s="33"/>
      <c r="DE19" s="33"/>
      <c r="DF19" s="66"/>
    </row>
    <row r="20" spans="1:110" ht="24.95" customHeight="1">
      <c r="A20" s="58">
        <v>11</v>
      </c>
      <c r="B20" s="59" t="s">
        <v>74</v>
      </c>
      <c r="C20" s="60" t="s">
        <v>50</v>
      </c>
      <c r="D20" s="61" t="s">
        <v>75</v>
      </c>
      <c r="E20" s="62" t="s">
        <v>76</v>
      </c>
      <c r="F20" s="60" t="s">
        <v>53</v>
      </c>
      <c r="G20" s="63">
        <v>172</v>
      </c>
      <c r="H20" s="64">
        <v>997.5</v>
      </c>
      <c r="I20" s="64">
        <v>171570</v>
      </c>
      <c r="J20" s="33">
        <v>500</v>
      </c>
      <c r="K20" s="33">
        <v>997.5</v>
      </c>
      <c r="L20" s="33">
        <f t="shared" si="10"/>
        <v>498750</v>
      </c>
      <c r="M20" s="34">
        <v>432</v>
      </c>
      <c r="N20" s="33">
        <f t="shared" si="11"/>
        <v>997.5</v>
      </c>
      <c r="O20" s="33">
        <f t="shared" si="12"/>
        <v>430920</v>
      </c>
      <c r="P20" s="137">
        <f t="shared" si="13"/>
        <v>240</v>
      </c>
      <c r="Q20" s="34">
        <f t="shared" si="14"/>
        <v>997.5</v>
      </c>
      <c r="R20" s="33">
        <f t="shared" si="15"/>
        <v>239400</v>
      </c>
      <c r="S20" s="36">
        <v>46887</v>
      </c>
      <c r="T20" s="34">
        <v>2300</v>
      </c>
      <c r="U20" s="34">
        <v>997.5</v>
      </c>
      <c r="V20" s="34">
        <v>2294250</v>
      </c>
      <c r="W20" s="34">
        <v>2060</v>
      </c>
      <c r="X20" s="34">
        <v>997.5</v>
      </c>
      <c r="Y20" s="34">
        <v>2054850</v>
      </c>
      <c r="Z20" s="34">
        <v>500</v>
      </c>
      <c r="AA20" s="33">
        <v>997.5</v>
      </c>
      <c r="AB20" s="34">
        <f t="shared" si="16"/>
        <v>498750</v>
      </c>
      <c r="AC20" s="33"/>
      <c r="AD20" s="33"/>
      <c r="AE20" s="33"/>
      <c r="AF20" s="65">
        <f t="shared" si="21"/>
        <v>2300</v>
      </c>
      <c r="AG20" s="33">
        <f t="shared" si="18"/>
        <v>997.5</v>
      </c>
      <c r="AH20" s="65">
        <f t="shared" si="19"/>
        <v>2294250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>
        <v>500</v>
      </c>
      <c r="BE20" s="33">
        <v>997.5</v>
      </c>
      <c r="BF20" s="33">
        <v>498750</v>
      </c>
      <c r="BG20" s="33">
        <v>1000</v>
      </c>
      <c r="BH20" s="33">
        <v>997.5</v>
      </c>
      <c r="BI20" s="33">
        <v>997500</v>
      </c>
      <c r="BJ20" s="33">
        <v>300</v>
      </c>
      <c r="BK20" s="33">
        <v>997.5</v>
      </c>
      <c r="BL20" s="33">
        <v>299250</v>
      </c>
      <c r="BM20" s="33">
        <v>500</v>
      </c>
      <c r="BN20" s="33">
        <v>997.5</v>
      </c>
      <c r="BO20" s="33">
        <v>498750</v>
      </c>
      <c r="BP20" s="33"/>
      <c r="BQ20" s="33"/>
      <c r="BR20" s="33"/>
      <c r="BT20" s="65">
        <f t="shared" ref="BT20" si="23">SUMIF($BW$6:$DF$6,$BT$6,BW20:DF20)</f>
        <v>2060</v>
      </c>
      <c r="BU20" s="33">
        <f t="shared" si="20"/>
        <v>997.5</v>
      </c>
      <c r="BV20" s="65">
        <f t="shared" si="22"/>
        <v>2054850</v>
      </c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73">
        <v>363</v>
      </c>
      <c r="CS20" s="33">
        <v>997.5</v>
      </c>
      <c r="CT20" s="33">
        <v>362092.5</v>
      </c>
      <c r="CU20" s="33">
        <v>677</v>
      </c>
      <c r="CV20" s="33">
        <v>997.5</v>
      </c>
      <c r="CW20" s="33">
        <v>675307.5</v>
      </c>
      <c r="CX20" s="33">
        <v>588</v>
      </c>
      <c r="CY20" s="33">
        <v>997.5</v>
      </c>
      <c r="CZ20" s="33">
        <v>586530</v>
      </c>
      <c r="DA20" s="33">
        <v>432</v>
      </c>
      <c r="DB20" s="33">
        <v>997.5</v>
      </c>
      <c r="DC20" s="33">
        <v>430920</v>
      </c>
      <c r="DD20" s="33"/>
      <c r="DE20" s="33"/>
      <c r="DF20" s="66"/>
    </row>
    <row r="21" spans="1:110" ht="24.95" customHeight="1">
      <c r="A21" s="58">
        <v>12</v>
      </c>
      <c r="B21" s="74" t="s">
        <v>88</v>
      </c>
      <c r="C21" s="60" t="s">
        <v>50</v>
      </c>
      <c r="D21" s="75" t="s">
        <v>89</v>
      </c>
      <c r="E21" s="70" t="s">
        <v>90</v>
      </c>
      <c r="F21" s="60" t="s">
        <v>53</v>
      </c>
      <c r="G21" s="64">
        <v>689</v>
      </c>
      <c r="H21" s="76">
        <v>1620.15</v>
      </c>
      <c r="I21" s="64">
        <v>1116283.3500000001</v>
      </c>
      <c r="J21" s="33">
        <v>2000</v>
      </c>
      <c r="K21" s="33">
        <v>1620.15</v>
      </c>
      <c r="L21" s="33">
        <f t="shared" si="10"/>
        <v>3240300</v>
      </c>
      <c r="M21" s="34">
        <v>1289</v>
      </c>
      <c r="N21" s="33">
        <f t="shared" si="11"/>
        <v>1620.1499999999999</v>
      </c>
      <c r="O21" s="33">
        <f t="shared" si="12"/>
        <v>2088373.3499999999</v>
      </c>
      <c r="P21" s="137">
        <f t="shared" si="13"/>
        <v>1400</v>
      </c>
      <c r="Q21" s="34">
        <f t="shared" si="14"/>
        <v>1620.1499999999999</v>
      </c>
      <c r="R21" s="33">
        <f t="shared" si="15"/>
        <v>2268210</v>
      </c>
      <c r="S21" s="36">
        <v>47012</v>
      </c>
      <c r="T21" s="34">
        <v>5380</v>
      </c>
      <c r="U21" s="34">
        <v>1620.15</v>
      </c>
      <c r="V21" s="34">
        <v>8716407</v>
      </c>
      <c r="W21" s="34">
        <v>3980</v>
      </c>
      <c r="X21" s="34">
        <v>1620.15</v>
      </c>
      <c r="Y21" s="34">
        <v>6448197</v>
      </c>
      <c r="Z21" s="34">
        <v>1500</v>
      </c>
      <c r="AA21" s="33">
        <v>1620.15</v>
      </c>
      <c r="AB21" s="34">
        <f t="shared" si="16"/>
        <v>2430225</v>
      </c>
      <c r="AC21" s="33"/>
      <c r="AD21" s="33"/>
      <c r="AE21" s="33"/>
      <c r="AF21" s="65">
        <f t="shared" si="21"/>
        <v>5380</v>
      </c>
      <c r="AG21" s="33">
        <f t="shared" si="18"/>
        <v>1620.15</v>
      </c>
      <c r="AH21" s="65">
        <f t="shared" si="19"/>
        <v>8716407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>
        <v>500</v>
      </c>
      <c r="BE21" s="33">
        <v>1620.15</v>
      </c>
      <c r="BF21" s="33">
        <v>810075</v>
      </c>
      <c r="BG21" s="33">
        <v>1500</v>
      </c>
      <c r="BH21" s="33">
        <v>1620.15</v>
      </c>
      <c r="BI21" s="33">
        <v>2430225</v>
      </c>
      <c r="BJ21" s="33">
        <v>1380</v>
      </c>
      <c r="BK21" s="33">
        <v>1620.15</v>
      </c>
      <c r="BL21" s="33">
        <v>2235807</v>
      </c>
      <c r="BM21" s="33">
        <v>2000</v>
      </c>
      <c r="BN21" s="33">
        <v>1620.15</v>
      </c>
      <c r="BO21" s="33">
        <v>3240300</v>
      </c>
      <c r="BP21" s="33"/>
      <c r="BQ21" s="33"/>
      <c r="BR21" s="33"/>
      <c r="BT21" s="65">
        <f>SUMIF($BW$6:$DF$6,$BT$6,BW21:DF21)</f>
        <v>3980</v>
      </c>
      <c r="BU21" s="33">
        <f t="shared" si="20"/>
        <v>1620.15</v>
      </c>
      <c r="BV21" s="65">
        <f t="shared" si="22"/>
        <v>6448197</v>
      </c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>
        <v>0</v>
      </c>
      <c r="CQ21" s="33">
        <v>0</v>
      </c>
      <c r="CR21" s="33">
        <v>386</v>
      </c>
      <c r="CS21" s="33">
        <v>1620.15</v>
      </c>
      <c r="CT21" s="33">
        <v>625377.9</v>
      </c>
      <c r="CU21" s="33">
        <v>851</v>
      </c>
      <c r="CV21" s="33">
        <v>1620.15</v>
      </c>
      <c r="CW21" s="33">
        <v>1378747.6500000001</v>
      </c>
      <c r="CX21" s="33">
        <v>1454</v>
      </c>
      <c r="CY21" s="33">
        <v>1620.15</v>
      </c>
      <c r="CZ21" s="33">
        <v>2355698.1</v>
      </c>
      <c r="DA21" s="33">
        <v>1289</v>
      </c>
      <c r="DB21" s="33">
        <v>1620.1499999999999</v>
      </c>
      <c r="DC21" s="33">
        <v>2088373.3499999999</v>
      </c>
      <c r="DD21" s="33"/>
      <c r="DE21" s="33"/>
      <c r="DF21" s="66"/>
    </row>
    <row r="22" spans="1:110" ht="24.95" customHeight="1">
      <c r="A22" s="58">
        <v>13</v>
      </c>
      <c r="B22" s="77" t="s">
        <v>133</v>
      </c>
      <c r="C22" s="60" t="s">
        <v>50</v>
      </c>
      <c r="D22" s="61" t="s">
        <v>117</v>
      </c>
      <c r="E22" s="62" t="s">
        <v>132</v>
      </c>
      <c r="F22" s="60" t="s">
        <v>53</v>
      </c>
      <c r="G22" s="63">
        <v>0</v>
      </c>
      <c r="H22" s="64">
        <v>0</v>
      </c>
      <c r="I22" s="64">
        <v>0</v>
      </c>
      <c r="J22" s="33"/>
      <c r="K22" s="33">
        <v>0</v>
      </c>
      <c r="L22" s="33">
        <f t="shared" si="10"/>
        <v>0</v>
      </c>
      <c r="M22" s="34"/>
      <c r="N22" s="33">
        <f t="shared" si="11"/>
        <v>0</v>
      </c>
      <c r="O22" s="33">
        <f t="shared" si="12"/>
        <v>0</v>
      </c>
      <c r="P22" s="137">
        <f t="shared" si="13"/>
        <v>0</v>
      </c>
      <c r="Q22" s="34">
        <f t="shared" si="14"/>
        <v>0</v>
      </c>
      <c r="R22" s="33">
        <f t="shared" si="15"/>
        <v>0</v>
      </c>
      <c r="S22" s="36">
        <v>46507</v>
      </c>
      <c r="T22" s="34">
        <v>1460</v>
      </c>
      <c r="U22" s="34">
        <v>4407.8424657534242</v>
      </c>
      <c r="V22" s="34">
        <v>6435450</v>
      </c>
      <c r="W22" s="34">
        <v>1714</v>
      </c>
      <c r="X22" s="34">
        <v>4524.8268834622704</v>
      </c>
      <c r="Y22" s="34">
        <v>7755553.2782543311</v>
      </c>
      <c r="Z22" s="34"/>
      <c r="AA22" s="33">
        <v>0</v>
      </c>
      <c r="AB22" s="34">
        <f t="shared" si="16"/>
        <v>0</v>
      </c>
      <c r="AC22" s="33">
        <v>254</v>
      </c>
      <c r="AD22" s="33">
        <v>5197.2570010013051</v>
      </c>
      <c r="AE22" s="33">
        <v>1320103.2782543316</v>
      </c>
      <c r="AF22" s="65">
        <f t="shared" si="21"/>
        <v>1460</v>
      </c>
      <c r="AG22" s="33">
        <f t="shared" si="18"/>
        <v>4407.8424657534242</v>
      </c>
      <c r="AH22" s="65">
        <f t="shared" si="19"/>
        <v>6435450</v>
      </c>
      <c r="AI22" s="33">
        <v>700</v>
      </c>
      <c r="AJ22" s="33">
        <v>5197.5</v>
      </c>
      <c r="AK22" s="33">
        <v>3638250</v>
      </c>
      <c r="AL22" s="33"/>
      <c r="AM22" s="33"/>
      <c r="AN22" s="33"/>
      <c r="AO22" s="33">
        <v>200</v>
      </c>
      <c r="AP22" s="33">
        <v>5197.5</v>
      </c>
      <c r="AQ22" s="33">
        <v>1039500</v>
      </c>
      <c r="AR22" s="33"/>
      <c r="AS22" s="33">
        <v>0</v>
      </c>
      <c r="AT22" s="33">
        <v>0</v>
      </c>
      <c r="AU22" s="33">
        <v>200</v>
      </c>
      <c r="AV22" s="33">
        <v>1995</v>
      </c>
      <c r="AW22" s="33">
        <v>399000</v>
      </c>
      <c r="AX22" s="33">
        <v>200</v>
      </c>
      <c r="AY22" s="33">
        <v>5197.5</v>
      </c>
      <c r="AZ22" s="33">
        <v>1039500</v>
      </c>
      <c r="BA22" s="33">
        <v>160</v>
      </c>
      <c r="BB22" s="33">
        <v>1995</v>
      </c>
      <c r="BC22" s="33">
        <v>319200</v>
      </c>
      <c r="BD22" s="33"/>
      <c r="BE22" s="33"/>
      <c r="BF22" s="33">
        <v>0</v>
      </c>
      <c r="BG22" s="33"/>
      <c r="BH22" s="33"/>
      <c r="BI22" s="33">
        <v>0</v>
      </c>
      <c r="BJ22" s="33"/>
      <c r="BK22" s="33">
        <v>0</v>
      </c>
      <c r="BL22" s="33">
        <v>0</v>
      </c>
      <c r="BM22" s="33"/>
      <c r="BN22" s="33">
        <v>0</v>
      </c>
      <c r="BO22" s="33">
        <v>0</v>
      </c>
      <c r="BP22" s="33"/>
      <c r="BQ22" s="33"/>
      <c r="BR22" s="33"/>
      <c r="BT22" s="65">
        <f>SUMIF($BW$6:$DF$6,$BT$6,BW22:DF22)</f>
        <v>1714</v>
      </c>
      <c r="BU22" s="33">
        <f t="shared" si="20"/>
        <v>4524.8268834622704</v>
      </c>
      <c r="BV22" s="65">
        <f t="shared" si="22"/>
        <v>7755553.2782543311</v>
      </c>
      <c r="BW22" s="33">
        <v>504</v>
      </c>
      <c r="BX22" s="33">
        <v>5197.435302153388</v>
      </c>
      <c r="BY22" s="33">
        <v>2619507.3922853074</v>
      </c>
      <c r="BZ22" s="33">
        <v>431</v>
      </c>
      <c r="CA22" s="33">
        <v>5197.435302153388</v>
      </c>
      <c r="CB22" s="33">
        <v>2240094.61522811</v>
      </c>
      <c r="CC22" s="33">
        <v>149</v>
      </c>
      <c r="CD22" s="33">
        <v>5197.4943869448143</v>
      </c>
      <c r="CE22" s="33">
        <v>774426.66365477734</v>
      </c>
      <c r="CF22" s="33">
        <v>70</v>
      </c>
      <c r="CG22" s="33">
        <v>5197.4943869448143</v>
      </c>
      <c r="CH22" s="33">
        <v>363824.607086137</v>
      </c>
      <c r="CI22" s="33">
        <v>114</v>
      </c>
      <c r="CJ22" s="33">
        <v>1995</v>
      </c>
      <c r="CK22" s="33">
        <v>227430</v>
      </c>
      <c r="CL22" s="33">
        <v>162</v>
      </c>
      <c r="CM22" s="33">
        <v>4234.5104895104896</v>
      </c>
      <c r="CN22" s="33">
        <v>685990.69930069929</v>
      </c>
      <c r="CO22" s="33">
        <v>211</v>
      </c>
      <c r="CP22" s="33">
        <v>2972.8144390820448</v>
      </c>
      <c r="CQ22" s="33">
        <v>627263.84664631146</v>
      </c>
      <c r="CR22" s="33">
        <v>73</v>
      </c>
      <c r="CS22" s="33">
        <v>2972.8144390820448</v>
      </c>
      <c r="CT22" s="33">
        <v>217015.45405298928</v>
      </c>
      <c r="CU22" s="33"/>
      <c r="CV22" s="33">
        <v>0</v>
      </c>
      <c r="CW22" s="33">
        <v>0</v>
      </c>
      <c r="CX22" s="33"/>
      <c r="CY22" s="33">
        <v>0</v>
      </c>
      <c r="CZ22" s="33">
        <v>0</v>
      </c>
      <c r="DA22" s="33"/>
      <c r="DB22" s="33">
        <v>0</v>
      </c>
      <c r="DC22" s="33">
        <v>0</v>
      </c>
      <c r="DD22" s="33"/>
      <c r="DE22" s="33"/>
      <c r="DF22" s="66"/>
    </row>
    <row r="23" spans="1:110" s="25" customFormat="1" ht="24.95" customHeight="1">
      <c r="A23" s="46" t="s">
        <v>18</v>
      </c>
      <c r="B23" s="47"/>
      <c r="C23" s="78"/>
      <c r="D23" s="79"/>
      <c r="E23" s="80"/>
      <c r="F23" s="51"/>
      <c r="G23" s="81">
        <f>SUM(G24:G28)</f>
        <v>2194</v>
      </c>
      <c r="H23" s="53"/>
      <c r="I23" s="81">
        <f>SUM(I24:I28)</f>
        <v>688982.56543772679</v>
      </c>
      <c r="J23" s="81">
        <f>SUM(J24:J28)</f>
        <v>3300</v>
      </c>
      <c r="K23" s="53"/>
      <c r="L23" s="81">
        <f>SUM(L24:L28)</f>
        <v>1015024.5</v>
      </c>
      <c r="M23" s="81">
        <f>SUM(M24:M28)</f>
        <v>3383</v>
      </c>
      <c r="N23" s="53"/>
      <c r="O23" s="81">
        <f>SUM(O24:O28)</f>
        <v>1059486.149786415</v>
      </c>
      <c r="P23" s="81">
        <f>SUM(P24:P28)</f>
        <v>2111</v>
      </c>
      <c r="Q23" s="54"/>
      <c r="R23" s="81">
        <f>SUM(R24:R28)</f>
        <v>644520.91565131175</v>
      </c>
      <c r="S23" s="56"/>
      <c r="T23" s="55">
        <v>35150</v>
      </c>
      <c r="U23" s="55">
        <v>312.69012091038405</v>
      </c>
      <c r="V23" s="55">
        <v>10991057.75</v>
      </c>
      <c r="W23" s="55">
        <v>34823</v>
      </c>
      <c r="X23" s="55">
        <v>317.64636544370279</v>
      </c>
      <c r="Y23" s="55">
        <v>11061399.383846063</v>
      </c>
      <c r="Z23" s="81">
        <f>SUM(Z24:Z28)</f>
        <v>2900</v>
      </c>
      <c r="AA23" s="53"/>
      <c r="AB23" s="81">
        <f>SUM(AB24:AB28)</f>
        <v>820566.81268052582</v>
      </c>
      <c r="AC23" s="81">
        <f>SUM(AC24:AC28)</f>
        <v>1784</v>
      </c>
      <c r="AD23" s="53"/>
      <c r="AE23" s="81">
        <f>SUM(AE24:AE28)</f>
        <v>714861.54949737596</v>
      </c>
      <c r="AF23" s="81">
        <f>SUM(AF24:AF28)</f>
        <v>35150</v>
      </c>
      <c r="AG23" s="52">
        <f>IFERROR(AH23/AF23,0)</f>
        <v>312.69012091038405</v>
      </c>
      <c r="AH23" s="81">
        <f>SUM(AH24:AH28)</f>
        <v>10991057.75</v>
      </c>
      <c r="AI23" s="53"/>
      <c r="AJ23" s="53"/>
      <c r="AK23" s="81">
        <f>SUM(AK24:AK28)</f>
        <v>1407171.15</v>
      </c>
      <c r="AL23" s="53"/>
      <c r="AM23" s="53"/>
      <c r="AN23" s="53"/>
      <c r="AO23" s="81"/>
      <c r="AP23" s="81"/>
      <c r="AQ23" s="81">
        <f t="shared" ref="AQ23:BR23" si="24">SUM(AQ24:AQ28)</f>
        <v>1064565.6000000001</v>
      </c>
      <c r="AR23" s="81"/>
      <c r="AS23" s="81"/>
      <c r="AT23" s="81">
        <f t="shared" si="24"/>
        <v>951584.55</v>
      </c>
      <c r="AU23" s="81"/>
      <c r="AV23" s="81"/>
      <c r="AW23" s="81">
        <f t="shared" si="24"/>
        <v>847960.05</v>
      </c>
      <c r="AX23" s="81"/>
      <c r="AY23" s="81"/>
      <c r="AZ23" s="81">
        <f t="shared" si="24"/>
        <v>1101744.05</v>
      </c>
      <c r="BA23" s="81"/>
      <c r="BB23" s="81"/>
      <c r="BC23" s="81">
        <f t="shared" si="24"/>
        <v>1055544</v>
      </c>
      <c r="BD23" s="81"/>
      <c r="BE23" s="81"/>
      <c r="BF23" s="81">
        <f t="shared" si="24"/>
        <v>1332419.55</v>
      </c>
      <c r="BG23" s="81">
        <v>3700</v>
      </c>
      <c r="BH23" s="81"/>
      <c r="BI23" s="81">
        <v>1294619.55</v>
      </c>
      <c r="BJ23" s="81"/>
      <c r="BK23" s="81"/>
      <c r="BL23" s="81">
        <f t="shared" si="24"/>
        <v>920424.75</v>
      </c>
      <c r="BM23" s="81"/>
      <c r="BN23" s="81"/>
      <c r="BO23" s="81">
        <f t="shared" si="24"/>
        <v>1015024.5</v>
      </c>
      <c r="BP23" s="81"/>
      <c r="BQ23" s="81"/>
      <c r="BR23" s="81">
        <f t="shared" si="24"/>
        <v>0</v>
      </c>
      <c r="BT23" s="81">
        <f>SUM(BT24:BT28)</f>
        <v>34823</v>
      </c>
      <c r="BU23" s="52">
        <f>IFERROR(BV23/BT23,0)</f>
        <v>317.64636544370279</v>
      </c>
      <c r="BV23" s="81">
        <f>SUM(BV24:BV28)</f>
        <v>11061399.383846063</v>
      </c>
      <c r="BW23" s="53"/>
      <c r="BX23" s="53"/>
      <c r="BY23" s="81">
        <f>SUM(BY24:BY28)</f>
        <v>1005934.268812751</v>
      </c>
      <c r="BZ23" s="53"/>
      <c r="CA23" s="53"/>
      <c r="CB23" s="81">
        <f>SUM(CB24:CB28)</f>
        <v>940471.63330222911</v>
      </c>
      <c r="CC23" s="53"/>
      <c r="CD23" s="53"/>
      <c r="CE23" s="81">
        <f t="shared" ref="CE23" si="25">SUM(CE24:CE28)</f>
        <v>729307.48160949186</v>
      </c>
      <c r="CF23" s="53"/>
      <c r="CG23" s="53"/>
      <c r="CH23" s="81">
        <f t="shared" ref="CH23" si="26">SUM(CH24:CH28)</f>
        <v>850091.90919489751</v>
      </c>
      <c r="CI23" s="53"/>
      <c r="CJ23" s="53"/>
      <c r="CK23" s="81">
        <f t="shared" ref="CK23" si="27">SUM(CK24:CK28)</f>
        <v>896345.65781421005</v>
      </c>
      <c r="CL23" s="53"/>
      <c r="CM23" s="53"/>
      <c r="CN23" s="81">
        <f t="shared" ref="CN23" si="28">SUM(CN24:CN28)</f>
        <v>973538.01793967991</v>
      </c>
      <c r="CO23" s="53"/>
      <c r="CP23" s="53"/>
      <c r="CQ23" s="81">
        <f>SUM(CQ24:CQ28)</f>
        <v>1109018.2771734435</v>
      </c>
      <c r="CR23" s="53"/>
      <c r="CS23" s="53"/>
      <c r="CT23" s="81">
        <f t="shared" ref="CT23" si="29">SUM(CT24:CT28)</f>
        <v>936886.48288234114</v>
      </c>
      <c r="CU23" s="53">
        <v>4582</v>
      </c>
      <c r="CV23" s="53"/>
      <c r="CW23" s="81">
        <v>1535688.651830622</v>
      </c>
      <c r="CX23" s="81">
        <f>SUM(CX24:CX28)</f>
        <v>3704</v>
      </c>
      <c r="CY23" s="53"/>
      <c r="CZ23" s="81">
        <f t="shared" ref="CZ23" si="30">SUM(CZ24:CZ28)</f>
        <v>1024630.8534999829</v>
      </c>
      <c r="DA23" s="53"/>
      <c r="DB23" s="53"/>
      <c r="DC23" s="81">
        <f t="shared" ref="DC23" si="31">SUM(DC24:DC28)</f>
        <v>1059486.149786415</v>
      </c>
      <c r="DD23" s="53"/>
      <c r="DE23" s="53"/>
      <c r="DF23" s="82">
        <f t="shared" ref="DF23" si="32">SUM(DF24:DF28)</f>
        <v>0</v>
      </c>
    </row>
    <row r="24" spans="1:110" ht="24.95" customHeight="1">
      <c r="A24" s="58">
        <v>14</v>
      </c>
      <c r="B24" s="83" t="s">
        <v>77</v>
      </c>
      <c r="C24" s="60" t="s">
        <v>50</v>
      </c>
      <c r="D24" s="61" t="s">
        <v>78</v>
      </c>
      <c r="E24" s="62" t="s">
        <v>52</v>
      </c>
      <c r="F24" s="60" t="s">
        <v>53</v>
      </c>
      <c r="G24" s="63">
        <v>800</v>
      </c>
      <c r="H24" s="64">
        <v>364.34999999999997</v>
      </c>
      <c r="I24" s="64">
        <v>291480</v>
      </c>
      <c r="J24" s="33">
        <v>1500</v>
      </c>
      <c r="K24" s="33">
        <v>364.35</v>
      </c>
      <c r="L24" s="33">
        <f>J24*K24</f>
        <v>546525</v>
      </c>
      <c r="M24" s="34">
        <v>1486</v>
      </c>
      <c r="N24" s="33">
        <f>IFERROR((G24*H24+J24*K24)/(G24+J24),0)</f>
        <v>364.35</v>
      </c>
      <c r="O24" s="33">
        <f>M24*N24</f>
        <v>541424.1</v>
      </c>
      <c r="P24" s="137">
        <f t="shared" si="13"/>
        <v>814</v>
      </c>
      <c r="Q24" s="34">
        <f t="shared" si="14"/>
        <v>364.35</v>
      </c>
      <c r="R24" s="33">
        <f>P24*Q24</f>
        <v>296580.90000000002</v>
      </c>
      <c r="S24" s="36">
        <v>47033</v>
      </c>
      <c r="T24" s="34">
        <v>14900</v>
      </c>
      <c r="U24" s="34">
        <v>364.34993288590601</v>
      </c>
      <c r="V24" s="34">
        <v>5428814</v>
      </c>
      <c r="W24" s="34">
        <v>14913</v>
      </c>
      <c r="X24" s="34">
        <v>364.34999999999991</v>
      </c>
      <c r="Y24" s="34">
        <v>5433551.5499999989</v>
      </c>
      <c r="Z24" s="34">
        <v>1000</v>
      </c>
      <c r="AA24" s="132">
        <v>364.34999999999997</v>
      </c>
      <c r="AB24" s="34">
        <f t="shared" ref="AB24:AB28" si="33">Z24*AA24</f>
        <v>364349.99999999994</v>
      </c>
      <c r="AC24" s="33">
        <v>827</v>
      </c>
      <c r="AD24" s="33">
        <v>364.35</v>
      </c>
      <c r="AE24" s="33">
        <v>301317.45</v>
      </c>
      <c r="AF24" s="128">
        <f t="shared" si="21"/>
        <v>14900</v>
      </c>
      <c r="AG24" s="33">
        <f>IFERROR(AH24/AF24,0)</f>
        <v>364.34993288590601</v>
      </c>
      <c r="AH24" s="65">
        <f>SUMIF($AI$6:$BR$6,$AH$6,AI24:BR24)</f>
        <v>5428814</v>
      </c>
      <c r="AI24" s="33">
        <v>1500</v>
      </c>
      <c r="AJ24" s="33">
        <v>364.35</v>
      </c>
      <c r="AK24" s="33">
        <v>546525</v>
      </c>
      <c r="AL24" s="33"/>
      <c r="AM24" s="33"/>
      <c r="AN24" s="33"/>
      <c r="AO24" s="33">
        <v>1100</v>
      </c>
      <c r="AP24" s="33">
        <v>364.35</v>
      </c>
      <c r="AQ24" s="33">
        <v>400785</v>
      </c>
      <c r="AR24" s="33">
        <v>1100</v>
      </c>
      <c r="AS24" s="33">
        <v>364.35</v>
      </c>
      <c r="AT24" s="33">
        <v>400785</v>
      </c>
      <c r="AU24" s="33">
        <v>1200</v>
      </c>
      <c r="AV24" s="33">
        <v>364.35</v>
      </c>
      <c r="AW24" s="33">
        <v>437220</v>
      </c>
      <c r="AX24" s="33">
        <v>1500</v>
      </c>
      <c r="AY24" s="33">
        <v>364.35</v>
      </c>
      <c r="AZ24" s="33">
        <v>546524</v>
      </c>
      <c r="BA24" s="33">
        <v>1500</v>
      </c>
      <c r="BB24" s="33">
        <v>364.35</v>
      </c>
      <c r="BC24" s="33">
        <v>546525</v>
      </c>
      <c r="BD24" s="33">
        <v>2000</v>
      </c>
      <c r="BE24" s="33">
        <v>364.35</v>
      </c>
      <c r="BF24" s="33">
        <v>728700</v>
      </c>
      <c r="BG24" s="33">
        <v>2000</v>
      </c>
      <c r="BH24" s="33">
        <v>364.35</v>
      </c>
      <c r="BI24" s="33">
        <v>728700</v>
      </c>
      <c r="BJ24" s="33">
        <v>1500</v>
      </c>
      <c r="BK24" s="33">
        <v>364.35</v>
      </c>
      <c r="BL24" s="33">
        <v>546525</v>
      </c>
      <c r="BM24" s="33">
        <v>1500</v>
      </c>
      <c r="BN24" s="33">
        <v>364.35</v>
      </c>
      <c r="BO24" s="33">
        <v>546525</v>
      </c>
      <c r="BP24" s="33"/>
      <c r="BQ24" s="33"/>
      <c r="BR24" s="33"/>
      <c r="BT24" s="65">
        <f>SUMIF($BW$6:$DF$6,$BT$6,BW24:DF24)</f>
        <v>14913</v>
      </c>
      <c r="BU24" s="33">
        <f t="shared" si="20"/>
        <v>364.34999999999991</v>
      </c>
      <c r="BV24" s="65">
        <f t="shared" si="22"/>
        <v>5433551.5499999989</v>
      </c>
      <c r="BW24" s="33">
        <v>1056</v>
      </c>
      <c r="BX24" s="33">
        <v>364.34999999999997</v>
      </c>
      <c r="BY24" s="33">
        <v>384753.6</v>
      </c>
      <c r="BZ24" s="33">
        <v>1142</v>
      </c>
      <c r="CA24" s="33">
        <v>364.34999999999997</v>
      </c>
      <c r="CB24" s="33">
        <v>416087.69999999995</v>
      </c>
      <c r="CC24" s="33">
        <v>885</v>
      </c>
      <c r="CD24" s="33">
        <v>364.35</v>
      </c>
      <c r="CE24" s="33">
        <v>322449.75</v>
      </c>
      <c r="CF24" s="33">
        <v>714</v>
      </c>
      <c r="CG24" s="33">
        <v>364.35</v>
      </c>
      <c r="CH24" s="33">
        <v>260145.90000000002</v>
      </c>
      <c r="CI24" s="33">
        <v>984</v>
      </c>
      <c r="CJ24" s="33">
        <v>364.35</v>
      </c>
      <c r="CK24" s="33">
        <v>358520.4</v>
      </c>
      <c r="CL24" s="33">
        <v>1602</v>
      </c>
      <c r="CM24" s="33">
        <v>364.35</v>
      </c>
      <c r="CN24" s="33">
        <v>583688.70000000007</v>
      </c>
      <c r="CO24" s="33">
        <v>1743</v>
      </c>
      <c r="CP24" s="33">
        <v>364.35</v>
      </c>
      <c r="CQ24" s="33">
        <v>635062.05000000005</v>
      </c>
      <c r="CR24" s="33">
        <v>1852</v>
      </c>
      <c r="CS24" s="33">
        <v>364.34999999999997</v>
      </c>
      <c r="CT24" s="33">
        <v>674776.2</v>
      </c>
      <c r="CU24" s="33">
        <v>1908</v>
      </c>
      <c r="CV24" s="33">
        <v>364.34999999999997</v>
      </c>
      <c r="CW24" s="33">
        <v>695179.79999999993</v>
      </c>
      <c r="CX24" s="33">
        <v>1541</v>
      </c>
      <c r="CY24" s="33">
        <v>364.34999999999997</v>
      </c>
      <c r="CZ24" s="33">
        <v>561463.35</v>
      </c>
      <c r="DA24" s="33">
        <v>1486</v>
      </c>
      <c r="DB24" s="33">
        <v>364.35</v>
      </c>
      <c r="DC24" s="33">
        <v>541424.1</v>
      </c>
      <c r="DD24" s="33"/>
      <c r="DE24" s="33"/>
      <c r="DF24" s="66"/>
    </row>
    <row r="25" spans="1:110" ht="24.95" customHeight="1">
      <c r="A25" s="58">
        <v>15</v>
      </c>
      <c r="B25" s="83" t="s">
        <v>79</v>
      </c>
      <c r="C25" s="60" t="s">
        <v>50</v>
      </c>
      <c r="D25" s="61" t="s">
        <v>80</v>
      </c>
      <c r="E25" s="62" t="s">
        <v>56</v>
      </c>
      <c r="F25" s="60" t="s">
        <v>53</v>
      </c>
      <c r="G25" s="63">
        <v>603</v>
      </c>
      <c r="H25" s="76">
        <v>75.683366031261642</v>
      </c>
      <c r="I25" s="76">
        <v>45637.069716850769</v>
      </c>
      <c r="J25" s="33">
        <v>500</v>
      </c>
      <c r="K25" s="33">
        <v>115.5</v>
      </c>
      <c r="L25" s="33">
        <f>J25*K25</f>
        <v>57750</v>
      </c>
      <c r="M25" s="34">
        <v>851</v>
      </c>
      <c r="N25" s="33">
        <f>IFERROR((G25*H25+J25*K25)/(G25+J25),0)</f>
        <v>93.732610804035147</v>
      </c>
      <c r="O25" s="33">
        <f t="shared" ref="O25:O28" si="34">M25*N25</f>
        <v>79766.451794233915</v>
      </c>
      <c r="P25" s="137">
        <f t="shared" si="13"/>
        <v>252</v>
      </c>
      <c r="Q25" s="34">
        <f t="shared" si="14"/>
        <v>93.732610804035147</v>
      </c>
      <c r="R25" s="33">
        <f t="shared" ref="R25:R28" si="35">P25*Q25</f>
        <v>23620.617922616857</v>
      </c>
      <c r="S25" s="36">
        <v>47036</v>
      </c>
      <c r="T25" s="34">
        <v>11200</v>
      </c>
      <c r="U25" s="34">
        <v>79.875</v>
      </c>
      <c r="V25" s="34">
        <v>894600</v>
      </c>
      <c r="W25" s="34">
        <v>11282</v>
      </c>
      <c r="X25" s="34">
        <v>79.438976871274349</v>
      </c>
      <c r="Y25" s="34">
        <v>896230.53706171713</v>
      </c>
      <c r="Z25" s="34">
        <v>600</v>
      </c>
      <c r="AA25" s="132">
        <v>75.778315952971937</v>
      </c>
      <c r="AB25" s="34">
        <f t="shared" si="33"/>
        <v>45466.98957178316</v>
      </c>
      <c r="AC25" s="33">
        <v>334</v>
      </c>
      <c r="AD25" s="33">
        <v>75.602260432138124</v>
      </c>
      <c r="AE25" s="33">
        <v>25251.154984334134</v>
      </c>
      <c r="AF25" s="128">
        <f t="shared" si="21"/>
        <v>11200</v>
      </c>
      <c r="AG25" s="33">
        <f t="shared" si="18"/>
        <v>79.875</v>
      </c>
      <c r="AH25" s="65">
        <f t="shared" ref="AH25:AH28" si="36">SUMIF($AI$6:$BR$6,$AH$6,AI25:BR25)</f>
        <v>894600</v>
      </c>
      <c r="AI25" s="33">
        <v>1000</v>
      </c>
      <c r="AJ25" s="33">
        <v>75.599999999999994</v>
      </c>
      <c r="AK25" s="33">
        <v>75600</v>
      </c>
      <c r="AL25" s="33"/>
      <c r="AM25" s="33"/>
      <c r="AN25" s="33"/>
      <c r="AO25" s="33">
        <v>700</v>
      </c>
      <c r="AP25" s="33">
        <v>115.5</v>
      </c>
      <c r="AQ25" s="33">
        <v>80850</v>
      </c>
      <c r="AR25" s="33">
        <v>800</v>
      </c>
      <c r="AS25" s="33">
        <v>75.599999999999994</v>
      </c>
      <c r="AT25" s="33">
        <v>60479.999999999993</v>
      </c>
      <c r="AU25" s="33">
        <v>700</v>
      </c>
      <c r="AV25" s="33">
        <v>75.599999999999994</v>
      </c>
      <c r="AW25" s="33">
        <v>52919.999999999993</v>
      </c>
      <c r="AX25" s="33">
        <v>2000</v>
      </c>
      <c r="AY25" s="33">
        <v>75.599999999999994</v>
      </c>
      <c r="AZ25" s="33">
        <v>151200</v>
      </c>
      <c r="BA25" s="33">
        <v>2000</v>
      </c>
      <c r="BB25" s="33">
        <v>75.599999999999994</v>
      </c>
      <c r="BC25" s="33">
        <v>151200</v>
      </c>
      <c r="BD25" s="33">
        <v>1500</v>
      </c>
      <c r="BE25" s="33">
        <v>75.599999999999994</v>
      </c>
      <c r="BF25" s="33">
        <v>113399.99999999999</v>
      </c>
      <c r="BG25" s="33">
        <v>1000</v>
      </c>
      <c r="BH25" s="33">
        <v>75.599999999999994</v>
      </c>
      <c r="BI25" s="33">
        <v>75600</v>
      </c>
      <c r="BJ25" s="33">
        <v>1000</v>
      </c>
      <c r="BK25" s="33">
        <v>75.599999999999994</v>
      </c>
      <c r="BL25" s="33">
        <v>75600</v>
      </c>
      <c r="BM25" s="33">
        <v>500</v>
      </c>
      <c r="BN25" s="33">
        <v>115.5</v>
      </c>
      <c r="BO25" s="33">
        <v>57750</v>
      </c>
      <c r="BP25" s="33"/>
      <c r="BQ25" s="33"/>
      <c r="BR25" s="33"/>
      <c r="BT25" s="65">
        <f>SUMIF($BW$6:$DF$6,$BT$6,BW25:DF25)</f>
        <v>11282</v>
      </c>
      <c r="BU25" s="33">
        <f t="shared" si="20"/>
        <v>79.438976871274349</v>
      </c>
      <c r="BV25" s="65">
        <f t="shared" si="22"/>
        <v>896230.53706171713</v>
      </c>
      <c r="BW25" s="33">
        <v>563</v>
      </c>
      <c r="BX25" s="33">
        <v>75.60056595527297</v>
      </c>
      <c r="BY25" s="33">
        <v>42563.118632818681</v>
      </c>
      <c r="BZ25" s="33">
        <v>553</v>
      </c>
      <c r="CA25" s="33">
        <v>75.60056595527297</v>
      </c>
      <c r="CB25" s="33">
        <v>41807.112973265954</v>
      </c>
      <c r="CC25" s="33">
        <v>476</v>
      </c>
      <c r="CD25" s="33">
        <v>106.0249710002718</v>
      </c>
      <c r="CE25" s="33">
        <v>50467.886196129381</v>
      </c>
      <c r="CF25" s="33">
        <v>563</v>
      </c>
      <c r="CG25" s="33">
        <v>86.42756616917886</v>
      </c>
      <c r="CH25" s="33">
        <v>48658.7197532477</v>
      </c>
      <c r="CI25" s="33">
        <v>795</v>
      </c>
      <c r="CJ25" s="33">
        <v>80.931339687362183</v>
      </c>
      <c r="CK25" s="33">
        <v>64340.415051452932</v>
      </c>
      <c r="CL25" s="33">
        <v>1077</v>
      </c>
      <c r="CM25" s="33">
        <v>76.804915780735115</v>
      </c>
      <c r="CN25" s="33">
        <v>82718.894295851715</v>
      </c>
      <c r="CO25" s="33">
        <v>1611</v>
      </c>
      <c r="CP25" s="33">
        <v>76.117766775468439</v>
      </c>
      <c r="CQ25" s="33">
        <v>122625.72227527965</v>
      </c>
      <c r="CR25" s="33">
        <v>1786</v>
      </c>
      <c r="CS25" s="33">
        <v>75.889071203265061</v>
      </c>
      <c r="CT25" s="33">
        <v>135537.8811690314</v>
      </c>
      <c r="CU25" s="33">
        <v>1732</v>
      </c>
      <c r="CV25" s="33">
        <v>75.778315952971937</v>
      </c>
      <c r="CW25" s="33">
        <v>131248.0432305474</v>
      </c>
      <c r="CX25" s="33">
        <v>1275</v>
      </c>
      <c r="CY25" s="33">
        <v>75.683366031261642</v>
      </c>
      <c r="CZ25" s="33">
        <v>96496.291689858597</v>
      </c>
      <c r="DA25" s="33">
        <v>851</v>
      </c>
      <c r="DB25" s="33">
        <v>93.732610804035147</v>
      </c>
      <c r="DC25" s="33">
        <v>79766.451794233915</v>
      </c>
      <c r="DD25" s="33"/>
      <c r="DE25" s="33"/>
      <c r="DF25" s="66"/>
    </row>
    <row r="26" spans="1:110" ht="24.95" customHeight="1">
      <c r="A26" s="58">
        <v>16</v>
      </c>
      <c r="B26" s="83" t="s">
        <v>81</v>
      </c>
      <c r="C26" s="60" t="s">
        <v>50</v>
      </c>
      <c r="D26" s="61" t="s">
        <v>82</v>
      </c>
      <c r="E26" s="62" t="s">
        <v>71</v>
      </c>
      <c r="F26" s="60" t="s">
        <v>53</v>
      </c>
      <c r="G26" s="63">
        <v>0</v>
      </c>
      <c r="H26" s="76">
        <v>231</v>
      </c>
      <c r="I26" s="76">
        <v>0</v>
      </c>
      <c r="J26" s="33">
        <v>200</v>
      </c>
      <c r="K26" s="33">
        <v>231</v>
      </c>
      <c r="L26" s="33">
        <f>J26*K26</f>
        <v>46200</v>
      </c>
      <c r="M26" s="34">
        <v>63</v>
      </c>
      <c r="N26" s="33">
        <f>IFERROR((G26*H26+J26*K26)/(G26+J26),0)</f>
        <v>231</v>
      </c>
      <c r="O26" s="33">
        <f t="shared" si="34"/>
        <v>14553</v>
      </c>
      <c r="P26" s="137">
        <f t="shared" si="13"/>
        <v>137</v>
      </c>
      <c r="Q26" s="34">
        <f t="shared" si="14"/>
        <v>231</v>
      </c>
      <c r="R26" s="33">
        <f t="shared" si="35"/>
        <v>31647</v>
      </c>
      <c r="S26" s="36">
        <v>47053</v>
      </c>
      <c r="T26" s="34">
        <v>800</v>
      </c>
      <c r="U26" s="34">
        <v>231</v>
      </c>
      <c r="V26" s="34">
        <v>184800</v>
      </c>
      <c r="W26" s="34">
        <v>663</v>
      </c>
      <c r="X26" s="34">
        <v>231</v>
      </c>
      <c r="Y26" s="34">
        <v>153153</v>
      </c>
      <c r="Z26" s="34">
        <v>200</v>
      </c>
      <c r="AA26" s="132">
        <v>231</v>
      </c>
      <c r="AB26" s="34">
        <f t="shared" si="33"/>
        <v>46200</v>
      </c>
      <c r="AC26" s="33">
        <v>0</v>
      </c>
      <c r="AD26" s="33">
        <v>231</v>
      </c>
      <c r="AE26" s="33">
        <v>0</v>
      </c>
      <c r="AF26" s="128">
        <f t="shared" si="21"/>
        <v>800</v>
      </c>
      <c r="AG26" s="33">
        <f t="shared" si="18"/>
        <v>231</v>
      </c>
      <c r="AH26" s="65">
        <f t="shared" si="36"/>
        <v>184800</v>
      </c>
      <c r="AI26" s="33">
        <v>200</v>
      </c>
      <c r="AJ26" s="33">
        <v>231</v>
      </c>
      <c r="AK26" s="33">
        <v>46200</v>
      </c>
      <c r="AL26" s="33"/>
      <c r="AM26" s="33"/>
      <c r="AN26" s="33"/>
      <c r="AO26" s="33">
        <v>200</v>
      </c>
      <c r="AP26" s="33">
        <v>231</v>
      </c>
      <c r="AQ26" s="33">
        <v>46200</v>
      </c>
      <c r="AR26" s="33"/>
      <c r="AS26" s="33">
        <v>0</v>
      </c>
      <c r="AT26" s="33">
        <v>0</v>
      </c>
      <c r="AU26" s="33"/>
      <c r="AV26" s="33">
        <v>0</v>
      </c>
      <c r="AW26" s="33">
        <v>0</v>
      </c>
      <c r="AX26" s="33">
        <v>200</v>
      </c>
      <c r="AY26" s="33">
        <v>231</v>
      </c>
      <c r="AZ26" s="33">
        <v>46200</v>
      </c>
      <c r="BA26" s="33"/>
      <c r="BB26" s="33">
        <v>0</v>
      </c>
      <c r="BC26" s="33">
        <v>0</v>
      </c>
      <c r="BD26" s="33"/>
      <c r="BE26" s="33"/>
      <c r="BF26" s="33">
        <v>0</v>
      </c>
      <c r="BG26" s="33"/>
      <c r="BH26" s="33"/>
      <c r="BI26" s="33">
        <v>0</v>
      </c>
      <c r="BJ26" s="33"/>
      <c r="BK26" s="33">
        <v>0</v>
      </c>
      <c r="BL26" s="33">
        <v>0</v>
      </c>
      <c r="BM26" s="33">
        <v>200</v>
      </c>
      <c r="BN26" s="33">
        <v>231</v>
      </c>
      <c r="BO26" s="33">
        <v>46200</v>
      </c>
      <c r="BP26" s="33"/>
      <c r="BQ26" s="33"/>
      <c r="BR26" s="33"/>
      <c r="BT26" s="65">
        <f>SUMIF($BW$6:$DF$6,$BT$6,BW26:DF26)</f>
        <v>663</v>
      </c>
      <c r="BU26" s="33">
        <f t="shared" si="20"/>
        <v>231</v>
      </c>
      <c r="BV26" s="65">
        <f t="shared" si="22"/>
        <v>153153</v>
      </c>
      <c r="BW26" s="33">
        <v>185</v>
      </c>
      <c r="BX26" s="33">
        <v>231</v>
      </c>
      <c r="BY26" s="33">
        <v>42735</v>
      </c>
      <c r="BZ26" s="33">
        <v>15</v>
      </c>
      <c r="CA26" s="33">
        <v>231</v>
      </c>
      <c r="CB26" s="33">
        <v>3465</v>
      </c>
      <c r="CC26" s="33">
        <v>43</v>
      </c>
      <c r="CD26" s="33">
        <v>231</v>
      </c>
      <c r="CE26" s="33">
        <v>9933</v>
      </c>
      <c r="CF26" s="33">
        <v>95</v>
      </c>
      <c r="CG26" s="33">
        <v>231</v>
      </c>
      <c r="CH26" s="33">
        <v>21945</v>
      </c>
      <c r="CI26" s="33">
        <v>62</v>
      </c>
      <c r="CJ26" s="33">
        <v>231</v>
      </c>
      <c r="CK26" s="33">
        <v>14322</v>
      </c>
      <c r="CL26" s="33">
        <v>45</v>
      </c>
      <c r="CM26" s="33">
        <v>231</v>
      </c>
      <c r="CN26" s="33">
        <v>10395</v>
      </c>
      <c r="CO26" s="33">
        <v>34</v>
      </c>
      <c r="CP26" s="33">
        <v>231</v>
      </c>
      <c r="CQ26" s="33">
        <v>7854</v>
      </c>
      <c r="CR26" s="33">
        <v>10</v>
      </c>
      <c r="CS26" s="33">
        <v>231</v>
      </c>
      <c r="CT26" s="33">
        <v>2310</v>
      </c>
      <c r="CU26" s="33">
        <v>61</v>
      </c>
      <c r="CV26" s="33">
        <v>231</v>
      </c>
      <c r="CW26" s="33">
        <v>14091</v>
      </c>
      <c r="CX26" s="33">
        <v>50</v>
      </c>
      <c r="CY26" s="33">
        <v>231</v>
      </c>
      <c r="CZ26" s="33">
        <v>11550</v>
      </c>
      <c r="DA26" s="33">
        <v>63</v>
      </c>
      <c r="DB26" s="33">
        <v>231</v>
      </c>
      <c r="DC26" s="33">
        <v>14553</v>
      </c>
      <c r="DD26" s="33"/>
      <c r="DE26" s="33"/>
      <c r="DF26" s="66"/>
    </row>
    <row r="27" spans="1:110" ht="24.95" customHeight="1">
      <c r="A27" s="58">
        <v>17</v>
      </c>
      <c r="B27" s="83" t="s">
        <v>84</v>
      </c>
      <c r="C27" s="60" t="s">
        <v>50</v>
      </c>
      <c r="D27" s="61" t="s">
        <v>83</v>
      </c>
      <c r="E27" s="62" t="s">
        <v>85</v>
      </c>
      <c r="F27" s="60" t="s">
        <v>53</v>
      </c>
      <c r="G27" s="63">
        <v>637</v>
      </c>
      <c r="H27" s="76">
        <v>232.04999982703421</v>
      </c>
      <c r="I27" s="76">
        <v>147815.84988982079</v>
      </c>
      <c r="J27" s="33">
        <v>1000</v>
      </c>
      <c r="K27" s="33">
        <v>232.05</v>
      </c>
      <c r="L27" s="33">
        <f>J27*K27</f>
        <v>232050</v>
      </c>
      <c r="M27" s="34">
        <v>804</v>
      </c>
      <c r="N27" s="33">
        <f>IFERROR((G27*H27+J27*K27)/(G27+J27),0)</f>
        <v>232.04999993269445</v>
      </c>
      <c r="O27" s="33">
        <f t="shared" si="34"/>
        <v>186568.19994588633</v>
      </c>
      <c r="P27" s="137">
        <f t="shared" si="13"/>
        <v>833</v>
      </c>
      <c r="Q27" s="34">
        <f t="shared" si="14"/>
        <v>232.04999993269445</v>
      </c>
      <c r="R27" s="33">
        <f t="shared" si="35"/>
        <v>193297.64994393446</v>
      </c>
      <c r="S27" s="36">
        <v>46838</v>
      </c>
      <c r="T27" s="34">
        <v>5900</v>
      </c>
      <c r="U27" s="34">
        <v>232.05</v>
      </c>
      <c r="V27" s="34">
        <v>1369095</v>
      </c>
      <c r="W27" s="34">
        <v>5467</v>
      </c>
      <c r="X27" s="34">
        <v>232.04963066643978</v>
      </c>
      <c r="Y27" s="34">
        <v>1268615.3308534264</v>
      </c>
      <c r="Z27" s="34">
        <v>1000</v>
      </c>
      <c r="AA27" s="132">
        <v>232.04999929969935</v>
      </c>
      <c r="AB27" s="34">
        <f t="shared" si="33"/>
        <v>232049.99929969935</v>
      </c>
      <c r="AC27" s="33">
        <v>400</v>
      </c>
      <c r="AD27" s="33">
        <v>232.04495199340192</v>
      </c>
      <c r="AE27" s="33">
        <v>92817.980797360768</v>
      </c>
      <c r="AF27" s="128">
        <f t="shared" si="21"/>
        <v>5900</v>
      </c>
      <c r="AG27" s="33">
        <f t="shared" si="18"/>
        <v>232.05</v>
      </c>
      <c r="AH27" s="65">
        <f t="shared" si="36"/>
        <v>1369095</v>
      </c>
      <c r="AI27" s="33">
        <v>900</v>
      </c>
      <c r="AJ27" s="33">
        <v>232.05</v>
      </c>
      <c r="AK27" s="33">
        <v>208845</v>
      </c>
      <c r="AL27" s="33"/>
      <c r="AM27" s="33"/>
      <c r="AN27" s="33"/>
      <c r="AO27" s="33">
        <v>600</v>
      </c>
      <c r="AP27" s="33">
        <v>232.05</v>
      </c>
      <c r="AQ27" s="33">
        <v>139230</v>
      </c>
      <c r="AR27" s="33">
        <v>400</v>
      </c>
      <c r="AS27" s="33">
        <v>232.05</v>
      </c>
      <c r="AT27" s="33">
        <v>92820</v>
      </c>
      <c r="AU27" s="33">
        <v>400</v>
      </c>
      <c r="AV27" s="33">
        <v>232.05</v>
      </c>
      <c r="AW27" s="33">
        <v>92820</v>
      </c>
      <c r="AX27" s="33">
        <v>400</v>
      </c>
      <c r="AY27" s="33">
        <v>232.05</v>
      </c>
      <c r="AZ27" s="33">
        <v>92820</v>
      </c>
      <c r="BA27" s="33">
        <v>400</v>
      </c>
      <c r="BB27" s="33">
        <v>232.05</v>
      </c>
      <c r="BC27" s="33">
        <v>92820</v>
      </c>
      <c r="BD27" s="33">
        <v>400</v>
      </c>
      <c r="BE27" s="33">
        <v>232.05</v>
      </c>
      <c r="BF27" s="33">
        <v>92820</v>
      </c>
      <c r="BG27" s="33">
        <v>400</v>
      </c>
      <c r="BH27" s="33">
        <v>232.05</v>
      </c>
      <c r="BI27" s="33">
        <v>92820</v>
      </c>
      <c r="BJ27" s="33">
        <v>1000</v>
      </c>
      <c r="BK27" s="33">
        <v>232.05</v>
      </c>
      <c r="BL27" s="33">
        <v>232050</v>
      </c>
      <c r="BM27" s="33">
        <v>1000</v>
      </c>
      <c r="BN27" s="33">
        <v>232.05</v>
      </c>
      <c r="BO27" s="33">
        <v>232050</v>
      </c>
      <c r="BP27" s="33"/>
      <c r="BQ27" s="33"/>
      <c r="BR27" s="33"/>
      <c r="BT27" s="65">
        <f>SUMIF($BW$6:$DF$6,$BT$6,BW27:DF27)</f>
        <v>5467</v>
      </c>
      <c r="BU27" s="33">
        <f t="shared" si="20"/>
        <v>232.04963066643978</v>
      </c>
      <c r="BV27" s="65">
        <f t="shared" si="22"/>
        <v>1268615.3308534264</v>
      </c>
      <c r="BW27" s="33">
        <v>682</v>
      </c>
      <c r="BX27" s="33">
        <v>232.0484467672006</v>
      </c>
      <c r="BY27" s="33">
        <v>158257.0406952308</v>
      </c>
      <c r="BZ27" s="33">
        <v>523</v>
      </c>
      <c r="CA27" s="33">
        <v>232.0484467672006</v>
      </c>
      <c r="CB27" s="33">
        <v>121361.33765924591</v>
      </c>
      <c r="CC27" s="33">
        <v>391</v>
      </c>
      <c r="CD27" s="33">
        <v>232.04978768760296</v>
      </c>
      <c r="CE27" s="33">
        <v>90731.466985852763</v>
      </c>
      <c r="CF27" s="33">
        <v>428</v>
      </c>
      <c r="CG27" s="33">
        <v>232.04990831964676</v>
      </c>
      <c r="CH27" s="33">
        <v>99317.36076080882</v>
      </c>
      <c r="CI27" s="33">
        <v>477</v>
      </c>
      <c r="CJ27" s="33">
        <v>232.04996256837649</v>
      </c>
      <c r="CK27" s="33">
        <v>110687.83214511558</v>
      </c>
      <c r="CL27" s="33">
        <v>388</v>
      </c>
      <c r="CM27" s="33">
        <v>232.04998756445227</v>
      </c>
      <c r="CN27" s="33">
        <v>90035.395175007478</v>
      </c>
      <c r="CO27" s="33">
        <v>401</v>
      </c>
      <c r="CP27" s="33">
        <v>232.0499957055637</v>
      </c>
      <c r="CQ27" s="33">
        <v>93052.048277931041</v>
      </c>
      <c r="CR27" s="33">
        <v>250</v>
      </c>
      <c r="CS27" s="33">
        <v>232.04999852158753</v>
      </c>
      <c r="CT27" s="33">
        <v>58012.49963039688</v>
      </c>
      <c r="CU27" s="33">
        <v>432</v>
      </c>
      <c r="CV27" s="33">
        <v>232.04999929969935</v>
      </c>
      <c r="CW27" s="33">
        <v>100245.59969747013</v>
      </c>
      <c r="CX27" s="33">
        <v>691</v>
      </c>
      <c r="CY27" s="33">
        <v>232.04999982703421</v>
      </c>
      <c r="CZ27" s="33">
        <v>160346.54988048066</v>
      </c>
      <c r="DA27" s="33">
        <v>804</v>
      </c>
      <c r="DB27" s="33">
        <v>232.04999993269445</v>
      </c>
      <c r="DC27" s="33">
        <v>186568.19994588633</v>
      </c>
      <c r="DD27" s="33"/>
      <c r="DE27" s="33"/>
      <c r="DF27" s="66"/>
    </row>
    <row r="28" spans="1:110" ht="24.95" customHeight="1">
      <c r="A28" s="58">
        <v>18</v>
      </c>
      <c r="B28" s="83" t="s">
        <v>86</v>
      </c>
      <c r="C28" s="60" t="s">
        <v>50</v>
      </c>
      <c r="D28" s="61" t="s">
        <v>82</v>
      </c>
      <c r="E28" s="62" t="s">
        <v>87</v>
      </c>
      <c r="F28" s="60" t="s">
        <v>53</v>
      </c>
      <c r="G28" s="63">
        <v>154</v>
      </c>
      <c r="H28" s="76">
        <v>1324.9977002016572</v>
      </c>
      <c r="I28" s="76">
        <v>204049.64583105521</v>
      </c>
      <c r="J28" s="33">
        <v>100</v>
      </c>
      <c r="K28" s="33">
        <v>1324.9949999999999</v>
      </c>
      <c r="L28" s="33">
        <f>J28*K28</f>
        <v>132499.5</v>
      </c>
      <c r="M28" s="34">
        <v>179</v>
      </c>
      <c r="N28" s="33">
        <f>IFERROR((G28*H28+J28*K28)/(G28+J28),0)</f>
        <v>1324.9966371301387</v>
      </c>
      <c r="O28" s="33">
        <f t="shared" si="34"/>
        <v>237174.39804629481</v>
      </c>
      <c r="P28" s="137">
        <f t="shared" si="13"/>
        <v>75</v>
      </c>
      <c r="Q28" s="34">
        <f t="shared" si="14"/>
        <v>1324.9966371301387</v>
      </c>
      <c r="R28" s="33">
        <f t="shared" si="35"/>
        <v>99374.747784760402</v>
      </c>
      <c r="S28" s="36">
        <v>46523</v>
      </c>
      <c r="T28" s="34">
        <v>2350</v>
      </c>
      <c r="U28" s="34">
        <v>1324.9994680851064</v>
      </c>
      <c r="V28" s="34">
        <v>3113748.75</v>
      </c>
      <c r="W28" s="34">
        <v>2498</v>
      </c>
      <c r="X28" s="34">
        <v>1324.9995860412012</v>
      </c>
      <c r="Y28" s="34">
        <v>3309848.9659309206</v>
      </c>
      <c r="Z28" s="34">
        <v>100</v>
      </c>
      <c r="AA28" s="132">
        <v>1324.9982380904335</v>
      </c>
      <c r="AB28" s="34">
        <f t="shared" si="33"/>
        <v>132499.82380904336</v>
      </c>
      <c r="AC28" s="33">
        <v>223</v>
      </c>
      <c r="AD28" s="33">
        <v>1324.9998372900493</v>
      </c>
      <c r="AE28" s="33">
        <v>295474.96371568099</v>
      </c>
      <c r="AF28" s="128">
        <f t="shared" si="21"/>
        <v>2350</v>
      </c>
      <c r="AG28" s="33">
        <f t="shared" si="18"/>
        <v>1324.9994680851064</v>
      </c>
      <c r="AH28" s="65">
        <f t="shared" si="36"/>
        <v>3113748.75</v>
      </c>
      <c r="AI28" s="33">
        <v>400</v>
      </c>
      <c r="AJ28" s="33">
        <v>1325.0028750000001</v>
      </c>
      <c r="AK28" s="33">
        <v>530001.15</v>
      </c>
      <c r="AL28" s="33"/>
      <c r="AM28" s="33"/>
      <c r="AN28" s="33"/>
      <c r="AO28" s="33">
        <v>300</v>
      </c>
      <c r="AP28" s="33">
        <v>1325.002</v>
      </c>
      <c r="AQ28" s="33">
        <v>397500.6</v>
      </c>
      <c r="AR28" s="33">
        <v>300</v>
      </c>
      <c r="AS28" s="33">
        <v>1324.9984999999999</v>
      </c>
      <c r="AT28" s="33">
        <v>397499.55</v>
      </c>
      <c r="AU28" s="33">
        <v>200</v>
      </c>
      <c r="AV28" s="33">
        <v>1325.0002500000001</v>
      </c>
      <c r="AW28" s="33">
        <v>265000.05</v>
      </c>
      <c r="AX28" s="33">
        <v>200</v>
      </c>
      <c r="AY28" s="33">
        <v>1325.0002500000001</v>
      </c>
      <c r="AZ28" s="33">
        <v>265000.05</v>
      </c>
      <c r="BA28" s="33">
        <v>200</v>
      </c>
      <c r="BB28" s="33">
        <v>1324.9949999999999</v>
      </c>
      <c r="BC28" s="33">
        <v>264999</v>
      </c>
      <c r="BD28" s="33">
        <v>300</v>
      </c>
      <c r="BE28" s="33">
        <v>1324.9984999999999</v>
      </c>
      <c r="BF28" s="33">
        <v>397499.55</v>
      </c>
      <c r="BG28" s="33">
        <v>300</v>
      </c>
      <c r="BH28" s="33">
        <v>1324.9984999999999</v>
      </c>
      <c r="BI28" s="33">
        <v>397499.55</v>
      </c>
      <c r="BJ28" s="33">
        <v>50</v>
      </c>
      <c r="BK28" s="33">
        <v>1324.9949999999999</v>
      </c>
      <c r="BL28" s="33">
        <v>66249.75</v>
      </c>
      <c r="BM28" s="33">
        <v>100</v>
      </c>
      <c r="BN28" s="33">
        <v>1324.9949999999999</v>
      </c>
      <c r="BO28" s="33">
        <v>132499.5</v>
      </c>
      <c r="BP28" s="33"/>
      <c r="BQ28" s="33"/>
      <c r="BR28" s="33"/>
      <c r="BT28" s="65">
        <f>SUMIF($BW$6:$DF$6,$BT$6,BW28:DF28)</f>
        <v>2498</v>
      </c>
      <c r="BU28" s="33">
        <f t="shared" si="20"/>
        <v>1324.9995860412012</v>
      </c>
      <c r="BV28" s="65">
        <f t="shared" si="22"/>
        <v>3309848.9659309206</v>
      </c>
      <c r="BW28" s="33">
        <v>285</v>
      </c>
      <c r="BX28" s="33">
        <v>1325.0017876656195</v>
      </c>
      <c r="BY28" s="33">
        <v>377625.50948470156</v>
      </c>
      <c r="BZ28" s="33">
        <v>270</v>
      </c>
      <c r="CA28" s="33">
        <v>1325.0017876656195</v>
      </c>
      <c r="CB28" s="33">
        <v>357750.48266971728</v>
      </c>
      <c r="CC28" s="33">
        <v>193</v>
      </c>
      <c r="CD28" s="33">
        <v>1325.0019607642992</v>
      </c>
      <c r="CE28" s="33">
        <v>255725.37842750974</v>
      </c>
      <c r="CF28" s="33">
        <v>317</v>
      </c>
      <c r="CG28" s="33">
        <v>1324.9997750184259</v>
      </c>
      <c r="CH28" s="33">
        <v>420024.928680841</v>
      </c>
      <c r="CI28" s="33">
        <v>263</v>
      </c>
      <c r="CJ28" s="33">
        <v>1325.0000403712606</v>
      </c>
      <c r="CK28" s="33">
        <v>348475.01061764156</v>
      </c>
      <c r="CL28" s="33">
        <v>156</v>
      </c>
      <c r="CM28" s="33">
        <v>1325.0001824924398</v>
      </c>
      <c r="CN28" s="33">
        <v>206700.02846882062</v>
      </c>
      <c r="CO28" s="33">
        <v>189</v>
      </c>
      <c r="CP28" s="33">
        <v>1324.9971249747762</v>
      </c>
      <c r="CQ28" s="33">
        <v>250424.4566202327</v>
      </c>
      <c r="CR28" s="33">
        <v>50</v>
      </c>
      <c r="CS28" s="33">
        <v>1324.9980416582587</v>
      </c>
      <c r="CT28" s="33">
        <v>66249.902082912929</v>
      </c>
      <c r="CU28" s="33">
        <v>449</v>
      </c>
      <c r="CV28" s="33">
        <v>1324.9982380904335</v>
      </c>
      <c r="CW28" s="33">
        <v>594924.20890260465</v>
      </c>
      <c r="CX28" s="33">
        <v>147</v>
      </c>
      <c r="CY28" s="33">
        <v>1324.9977002016572</v>
      </c>
      <c r="CZ28" s="33">
        <v>194774.6619296436</v>
      </c>
      <c r="DA28" s="33">
        <v>179</v>
      </c>
      <c r="DB28" s="33">
        <v>1324.9966371301387</v>
      </c>
      <c r="DC28" s="33">
        <v>237174.39804629481</v>
      </c>
      <c r="DD28" s="33"/>
      <c r="DE28" s="33"/>
      <c r="DF28" s="66"/>
    </row>
    <row r="29" spans="1:110" s="25" customFormat="1" ht="24.95" customHeight="1">
      <c r="A29" s="46" t="s">
        <v>19</v>
      </c>
      <c r="B29" s="47"/>
      <c r="C29" s="78"/>
      <c r="D29" s="79"/>
      <c r="E29" s="80"/>
      <c r="F29" s="51"/>
      <c r="G29" s="81">
        <f>SUM(G30:G39)</f>
        <v>6305</v>
      </c>
      <c r="H29" s="53"/>
      <c r="I29" s="81">
        <f>SUM(I30:I39)</f>
        <v>18980356.137043398</v>
      </c>
      <c r="J29" s="81">
        <f>SUM(J30:J39)</f>
        <v>12600</v>
      </c>
      <c r="K29" s="53"/>
      <c r="L29" s="81">
        <f>SUM(L30:L39)</f>
        <v>36159900</v>
      </c>
      <c r="M29" s="81">
        <f>SUM(M30:M39)</f>
        <v>11739</v>
      </c>
      <c r="N29" s="53"/>
      <c r="O29" s="81">
        <f>SUM(O30:O39)</f>
        <v>34489729.298872337</v>
      </c>
      <c r="P29" s="81">
        <f>SUM(P30:P39)</f>
        <v>7166</v>
      </c>
      <c r="Q29" s="54"/>
      <c r="R29" s="81">
        <f>SUM(R30:R39)</f>
        <v>20650526.838171057</v>
      </c>
      <c r="S29" s="56"/>
      <c r="T29" s="55">
        <v>97260</v>
      </c>
      <c r="U29" s="55">
        <v>2573.9411320172735</v>
      </c>
      <c r="V29" s="55">
        <v>250341514.5</v>
      </c>
      <c r="W29" s="55">
        <v>92732</v>
      </c>
      <c r="X29" s="55">
        <v>2534.6780961719401</v>
      </c>
      <c r="Y29" s="55">
        <v>235045769.21421635</v>
      </c>
      <c r="Z29" s="81">
        <f>SUM(Z30:Z39)</f>
        <v>12600</v>
      </c>
      <c r="AA29" s="53"/>
      <c r="AB29" s="129">
        <f>SUM(AB30:AB39)</f>
        <v>37837483.323813416</v>
      </c>
      <c r="AC29" s="81">
        <f>SUM(AC30:AC39)</f>
        <v>2638</v>
      </c>
      <c r="AD29" s="54"/>
      <c r="AE29" s="129">
        <f>SUM(AE30:AE39)</f>
        <v>5354781.5523874015</v>
      </c>
      <c r="AF29" s="81">
        <f>SUM(AF30:AF39)</f>
        <v>97260</v>
      </c>
      <c r="AG29" s="52">
        <f>IFERROR(AH29/AF29,0)</f>
        <v>2573.9411320172735</v>
      </c>
      <c r="AH29" s="81">
        <f>SUM(AH30:AH39)</f>
        <v>250341514.5</v>
      </c>
      <c r="AI29" s="53"/>
      <c r="AJ29" s="53"/>
      <c r="AK29" s="81">
        <f>SUM(AK30:AK39)</f>
        <v>9947427</v>
      </c>
      <c r="AL29" s="53"/>
      <c r="AM29" s="53"/>
      <c r="AN29" s="53"/>
      <c r="AO29" s="81"/>
      <c r="AP29" s="81"/>
      <c r="AQ29" s="81">
        <f t="shared" ref="AQ29:BR29" si="37">SUM(AQ30:AQ39)</f>
        <v>11218567.5</v>
      </c>
      <c r="AR29" s="81"/>
      <c r="AS29" s="81"/>
      <c r="AT29" s="81">
        <f t="shared" si="37"/>
        <v>19936875</v>
      </c>
      <c r="AU29" s="81"/>
      <c r="AV29" s="81"/>
      <c r="AW29" s="81">
        <f t="shared" si="37"/>
        <v>21081585</v>
      </c>
      <c r="AX29" s="81"/>
      <c r="AY29" s="81"/>
      <c r="AZ29" s="81">
        <f t="shared" si="37"/>
        <v>26989620</v>
      </c>
      <c r="BA29" s="81"/>
      <c r="BB29" s="81"/>
      <c r="BC29" s="81">
        <f t="shared" si="37"/>
        <v>27076245</v>
      </c>
      <c r="BD29" s="81"/>
      <c r="BE29" s="81"/>
      <c r="BF29" s="81">
        <f t="shared" si="37"/>
        <v>27433875</v>
      </c>
      <c r="BG29" s="81">
        <v>11900</v>
      </c>
      <c r="BH29" s="81"/>
      <c r="BI29" s="81">
        <v>38483445</v>
      </c>
      <c r="BJ29" s="81"/>
      <c r="BK29" s="81"/>
      <c r="BL29" s="81">
        <f t="shared" si="37"/>
        <v>32013975</v>
      </c>
      <c r="BM29" s="81"/>
      <c r="BN29" s="81"/>
      <c r="BO29" s="81">
        <f t="shared" si="37"/>
        <v>36159900</v>
      </c>
      <c r="BP29" s="81"/>
      <c r="BQ29" s="81"/>
      <c r="BR29" s="81">
        <f t="shared" si="37"/>
        <v>0</v>
      </c>
      <c r="BT29" s="81">
        <f>SUM(BT30:BT39)</f>
        <v>92732</v>
      </c>
      <c r="BU29" s="52">
        <f>IFERROR(BV29/BT29,0)</f>
        <v>2534.6780961719401</v>
      </c>
      <c r="BV29" s="81">
        <f>SUM(BV30:BV39)</f>
        <v>235045769.21421635</v>
      </c>
      <c r="BW29" s="53"/>
      <c r="BX29" s="53"/>
      <c r="BY29" s="81">
        <f>SUM(BY30:BY39)</f>
        <v>8197163.0298457481</v>
      </c>
      <c r="BZ29" s="53"/>
      <c r="CA29" s="53"/>
      <c r="CB29" s="81">
        <f>SUM(CB30:CB39)</f>
        <v>5980152.6233320804</v>
      </c>
      <c r="CC29" s="53"/>
      <c r="CD29" s="53"/>
      <c r="CE29" s="81">
        <f t="shared" ref="CE29" si="38">SUM(CE30:CE39)</f>
        <v>8863376.1540822443</v>
      </c>
      <c r="CF29" s="53"/>
      <c r="CG29" s="53"/>
      <c r="CH29" s="81">
        <f t="shared" ref="CH29" si="39">SUM(CH30:CH39)</f>
        <v>11910468.524733402</v>
      </c>
      <c r="CI29" s="53"/>
      <c r="CJ29" s="53"/>
      <c r="CK29" s="81">
        <f t="shared" ref="CK29" si="40">SUM(CK30:CK39)</f>
        <v>19169900.278634917</v>
      </c>
      <c r="CL29" s="53"/>
      <c r="CM29" s="53"/>
      <c r="CN29" s="81">
        <f t="shared" ref="CN29" si="41">SUM(CN30:CN39)</f>
        <v>24344291.600892164</v>
      </c>
      <c r="CO29" s="53"/>
      <c r="CP29" s="53"/>
      <c r="CQ29" s="81">
        <f>SUM(CQ30:CQ39)</f>
        <v>26438913.980797764</v>
      </c>
      <c r="CR29" s="53"/>
      <c r="CS29" s="53"/>
      <c r="CT29" s="81">
        <f t="shared" ref="CT29" si="42">SUM(CT30:CT39)</f>
        <v>29755212.273746245</v>
      </c>
      <c r="CU29" s="53">
        <v>11540</v>
      </c>
      <c r="CV29" s="53"/>
      <c r="CW29" s="81">
        <v>31799656.188809715</v>
      </c>
      <c r="CX29" s="81">
        <f>SUM(CX30:CX39)</f>
        <v>11721</v>
      </c>
      <c r="CY29" s="53"/>
      <c r="CZ29" s="81">
        <f t="shared" ref="CZ29" si="43">SUM(CZ30:CZ39)</f>
        <v>34096905.260469727</v>
      </c>
      <c r="DA29" s="53"/>
      <c r="DB29" s="53"/>
      <c r="DC29" s="81">
        <f t="shared" ref="DC29" si="44">SUM(DC30:DC39)</f>
        <v>34489729.298872337</v>
      </c>
      <c r="DD29" s="53"/>
      <c r="DE29" s="53"/>
      <c r="DF29" s="82">
        <f t="shared" ref="DF29" si="45">SUM(DF30:DF39)</f>
        <v>0</v>
      </c>
    </row>
    <row r="30" spans="1:110" ht="24.95" customHeight="1">
      <c r="A30" s="58">
        <v>19</v>
      </c>
      <c r="B30" s="84" t="s">
        <v>94</v>
      </c>
      <c r="C30" s="60" t="s">
        <v>50</v>
      </c>
      <c r="D30" s="61" t="s">
        <v>55</v>
      </c>
      <c r="E30" s="62" t="s">
        <v>95</v>
      </c>
      <c r="F30" s="60" t="s">
        <v>53</v>
      </c>
      <c r="G30" s="64">
        <v>785</v>
      </c>
      <c r="H30" s="76">
        <v>893.55000000000007</v>
      </c>
      <c r="I30" s="76">
        <v>701436.75</v>
      </c>
      <c r="J30" s="33">
        <v>1800</v>
      </c>
      <c r="K30" s="33">
        <v>893.55</v>
      </c>
      <c r="L30" s="33">
        <f t="shared" ref="L30:L39" si="46">J30*K30</f>
        <v>1608390</v>
      </c>
      <c r="M30" s="34">
        <v>1463</v>
      </c>
      <c r="N30" s="33">
        <f t="shared" ref="N30:N39" si="47">IFERROR((G30*H30+J30*K30)/(G30+J30),0)</f>
        <v>893.55</v>
      </c>
      <c r="O30" s="33">
        <f>M30*N30</f>
        <v>1307263.6499999999</v>
      </c>
      <c r="P30" s="137">
        <f t="shared" si="13"/>
        <v>1122</v>
      </c>
      <c r="Q30" s="34">
        <f t="shared" si="14"/>
        <v>893.55</v>
      </c>
      <c r="R30" s="33">
        <f>P30*Q30</f>
        <v>1002563.1</v>
      </c>
      <c r="S30" s="36">
        <v>46788</v>
      </c>
      <c r="T30" s="34">
        <v>9900</v>
      </c>
      <c r="U30" s="34">
        <v>893.55</v>
      </c>
      <c r="V30" s="34">
        <v>8846145</v>
      </c>
      <c r="W30" s="34">
        <v>9078</v>
      </c>
      <c r="X30" s="34">
        <v>893.54966288757566</v>
      </c>
      <c r="Y30" s="34">
        <v>8111643.8396934122</v>
      </c>
      <c r="Z30" s="34">
        <v>1800</v>
      </c>
      <c r="AA30" s="33">
        <v>893.55</v>
      </c>
      <c r="AB30" s="34">
        <f t="shared" ref="AB30:AB39" si="48">Z30*AA30</f>
        <v>1608390</v>
      </c>
      <c r="AC30" s="33">
        <v>300</v>
      </c>
      <c r="AD30" s="33">
        <v>893.5397989780455</v>
      </c>
      <c r="AE30" s="33">
        <v>268061.93969341367</v>
      </c>
      <c r="AF30" s="65">
        <f t="shared" si="21"/>
        <v>9900</v>
      </c>
      <c r="AG30" s="33">
        <f t="shared" si="18"/>
        <v>893.55</v>
      </c>
      <c r="AH30" s="65">
        <f>SUMIF($AI$6:$BR$6,$AH$6,AI30:BR30)</f>
        <v>8846145</v>
      </c>
      <c r="AI30" s="33">
        <v>600</v>
      </c>
      <c r="AJ30" s="33">
        <v>893.55</v>
      </c>
      <c r="AK30" s="33">
        <v>536130</v>
      </c>
      <c r="AL30" s="33"/>
      <c r="AM30" s="33"/>
      <c r="AN30" s="33"/>
      <c r="AO30" s="33">
        <v>900</v>
      </c>
      <c r="AP30" s="33">
        <v>893.55</v>
      </c>
      <c r="AQ30" s="33">
        <v>804195</v>
      </c>
      <c r="AR30" s="33">
        <v>700</v>
      </c>
      <c r="AS30" s="33">
        <v>893.55</v>
      </c>
      <c r="AT30" s="33">
        <v>625485</v>
      </c>
      <c r="AU30" s="33">
        <v>700</v>
      </c>
      <c r="AV30" s="33">
        <v>893.55</v>
      </c>
      <c r="AW30" s="33">
        <v>625485</v>
      </c>
      <c r="AX30" s="33">
        <v>900</v>
      </c>
      <c r="AY30" s="33">
        <v>893.55</v>
      </c>
      <c r="AZ30" s="33">
        <v>804195</v>
      </c>
      <c r="BA30" s="33">
        <v>900</v>
      </c>
      <c r="BB30" s="33">
        <v>893.55</v>
      </c>
      <c r="BC30" s="33">
        <v>804195</v>
      </c>
      <c r="BD30" s="33">
        <v>900</v>
      </c>
      <c r="BE30" s="33">
        <v>893.55</v>
      </c>
      <c r="BF30" s="33">
        <v>804195</v>
      </c>
      <c r="BG30" s="33">
        <v>1000</v>
      </c>
      <c r="BH30" s="33">
        <v>893.55</v>
      </c>
      <c r="BI30" s="33">
        <v>893550</v>
      </c>
      <c r="BJ30" s="33">
        <v>1500</v>
      </c>
      <c r="BK30" s="33">
        <v>893.55</v>
      </c>
      <c r="BL30" s="33">
        <f t="shared" ref="BL30:BL39" si="49">BJ30*BK30</f>
        <v>1340325</v>
      </c>
      <c r="BM30" s="33">
        <v>1800</v>
      </c>
      <c r="BN30" s="33">
        <v>893.55</v>
      </c>
      <c r="BO30" s="33">
        <v>1608390</v>
      </c>
      <c r="BP30" s="33"/>
      <c r="BQ30" s="33"/>
      <c r="BR30" s="33"/>
      <c r="BT30" s="65">
        <f>SUMIF($BW$6:$DF$6,$BT$6,BW30:DF30)</f>
        <v>9078</v>
      </c>
      <c r="BU30" s="33">
        <f t="shared" si="20"/>
        <v>893.54966288757566</v>
      </c>
      <c r="BV30" s="65">
        <f t="shared" si="22"/>
        <v>8111643.8396934122</v>
      </c>
      <c r="BW30" s="33">
        <v>496</v>
      </c>
      <c r="BX30" s="33">
        <v>893.54659965934854</v>
      </c>
      <c r="BY30" s="33">
        <v>443199.11343103688</v>
      </c>
      <c r="BZ30" s="33">
        <v>404</v>
      </c>
      <c r="CA30" s="33">
        <v>893.54659965934854</v>
      </c>
      <c r="CB30" s="33">
        <v>360992.8262623768</v>
      </c>
      <c r="CC30" s="33">
        <v>441</v>
      </c>
      <c r="CD30" s="33">
        <v>893.55</v>
      </c>
      <c r="CE30" s="33">
        <v>394055.55</v>
      </c>
      <c r="CF30" s="33">
        <v>621</v>
      </c>
      <c r="CG30" s="33">
        <v>893.55</v>
      </c>
      <c r="CH30" s="33">
        <v>554894.54999999993</v>
      </c>
      <c r="CI30" s="33">
        <v>784</v>
      </c>
      <c r="CJ30" s="33">
        <v>893.55</v>
      </c>
      <c r="CK30" s="33">
        <v>700543.2</v>
      </c>
      <c r="CL30" s="33">
        <v>811</v>
      </c>
      <c r="CM30" s="33">
        <v>893.55</v>
      </c>
      <c r="CN30" s="33">
        <v>724669.04999999993</v>
      </c>
      <c r="CO30" s="33">
        <v>874</v>
      </c>
      <c r="CP30" s="33">
        <v>893.55</v>
      </c>
      <c r="CQ30" s="33">
        <v>780962.7</v>
      </c>
      <c r="CR30" s="33">
        <v>911</v>
      </c>
      <c r="CS30" s="33">
        <v>893.55</v>
      </c>
      <c r="CT30" s="33">
        <v>814024.04999999993</v>
      </c>
      <c r="CU30" s="33">
        <v>987</v>
      </c>
      <c r="CV30" s="33">
        <v>893.55</v>
      </c>
      <c r="CW30" s="33">
        <v>881933.85</v>
      </c>
      <c r="CX30" s="33">
        <v>1286</v>
      </c>
      <c r="CY30" s="33">
        <v>893.55000000000007</v>
      </c>
      <c r="CZ30" s="33">
        <v>1149105.3</v>
      </c>
      <c r="DA30" s="33">
        <v>1463</v>
      </c>
      <c r="DB30" s="33">
        <v>893.55</v>
      </c>
      <c r="DC30" s="33">
        <v>1307263.6499999999</v>
      </c>
      <c r="DD30" s="33"/>
      <c r="DE30" s="33"/>
      <c r="DF30" s="66"/>
    </row>
    <row r="31" spans="1:110" ht="24.95" customHeight="1">
      <c r="A31" s="58">
        <v>20</v>
      </c>
      <c r="B31" s="84" t="s">
        <v>96</v>
      </c>
      <c r="C31" s="60" t="s">
        <v>50</v>
      </c>
      <c r="D31" s="61" t="s">
        <v>75</v>
      </c>
      <c r="E31" s="62" t="s">
        <v>93</v>
      </c>
      <c r="F31" s="60" t="s">
        <v>53</v>
      </c>
      <c r="G31" s="64">
        <v>1179</v>
      </c>
      <c r="H31" s="76">
        <v>2150.4</v>
      </c>
      <c r="I31" s="76">
        <v>2535321.6000000001</v>
      </c>
      <c r="J31" s="33">
        <v>1900</v>
      </c>
      <c r="K31" s="33">
        <v>2150.4</v>
      </c>
      <c r="L31" s="33">
        <f t="shared" si="46"/>
        <v>4085760</v>
      </c>
      <c r="M31" s="34">
        <v>2255</v>
      </c>
      <c r="N31" s="33">
        <f t="shared" si="47"/>
        <v>2150.4</v>
      </c>
      <c r="O31" s="33">
        <f t="shared" ref="O31:O38" si="50">M31*N31</f>
        <v>4849152</v>
      </c>
      <c r="P31" s="137">
        <f t="shared" si="13"/>
        <v>824</v>
      </c>
      <c r="Q31" s="34">
        <f t="shared" si="14"/>
        <v>2150.4</v>
      </c>
      <c r="R31" s="33">
        <f t="shared" ref="R31:R39" si="51">P31*Q31</f>
        <v>1771929.6000000001</v>
      </c>
      <c r="S31" s="36">
        <v>46544</v>
      </c>
      <c r="T31" s="34">
        <v>27080</v>
      </c>
      <c r="U31" s="34">
        <v>2150.4</v>
      </c>
      <c r="V31" s="34">
        <v>58232832</v>
      </c>
      <c r="W31" s="34">
        <v>26460</v>
      </c>
      <c r="X31" s="34">
        <v>2150.3986807146839</v>
      </c>
      <c r="Y31" s="34">
        <v>56899549.09171053</v>
      </c>
      <c r="Z31" s="34">
        <v>1900</v>
      </c>
      <c r="AA31" s="33">
        <v>2150.4</v>
      </c>
      <c r="AB31" s="34">
        <f t="shared" si="48"/>
        <v>4085760</v>
      </c>
      <c r="AC31" s="33">
        <v>204</v>
      </c>
      <c r="AD31" s="33">
        <v>2150.2288809339457</v>
      </c>
      <c r="AE31" s="33">
        <v>438646.6917105249</v>
      </c>
      <c r="AF31" s="65">
        <f t="shared" si="21"/>
        <v>27080</v>
      </c>
      <c r="AG31" s="33">
        <f t="shared" si="18"/>
        <v>2150.4</v>
      </c>
      <c r="AH31" s="65">
        <f t="shared" ref="AH31:AH95" si="52">SUMIF($AI$6:$BR$6,$AH$6,AI31:BR31)</f>
        <v>58232832</v>
      </c>
      <c r="AI31" s="33">
        <v>380</v>
      </c>
      <c r="AJ31" s="33">
        <v>2150.4</v>
      </c>
      <c r="AK31" s="33">
        <v>817152</v>
      </c>
      <c r="AL31" s="33"/>
      <c r="AM31" s="33"/>
      <c r="AN31" s="33"/>
      <c r="AO31" s="33">
        <v>1400</v>
      </c>
      <c r="AP31" s="33">
        <v>2150.4</v>
      </c>
      <c r="AQ31" s="33">
        <v>3010560</v>
      </c>
      <c r="AR31" s="33">
        <v>3000</v>
      </c>
      <c r="AS31" s="33">
        <v>2150.4</v>
      </c>
      <c r="AT31" s="33">
        <v>6451200</v>
      </c>
      <c r="AU31" s="33">
        <v>3000</v>
      </c>
      <c r="AV31" s="33">
        <v>2150.4</v>
      </c>
      <c r="AW31" s="33">
        <v>6451200</v>
      </c>
      <c r="AX31" s="33">
        <v>4000</v>
      </c>
      <c r="AY31" s="33">
        <v>2150.4</v>
      </c>
      <c r="AZ31" s="33">
        <v>8601600</v>
      </c>
      <c r="BA31" s="33">
        <v>4000</v>
      </c>
      <c r="BB31" s="33">
        <v>2150.4</v>
      </c>
      <c r="BC31" s="33">
        <v>8601600</v>
      </c>
      <c r="BD31" s="33">
        <v>3200</v>
      </c>
      <c r="BE31" s="33">
        <v>2150.4</v>
      </c>
      <c r="BF31" s="33">
        <v>6881280</v>
      </c>
      <c r="BG31" s="33">
        <v>3200</v>
      </c>
      <c r="BH31" s="33">
        <v>2150.4</v>
      </c>
      <c r="BI31" s="33">
        <v>6881280</v>
      </c>
      <c r="BJ31" s="33">
        <v>3000</v>
      </c>
      <c r="BK31" s="33">
        <v>2150.4</v>
      </c>
      <c r="BL31" s="33">
        <f t="shared" si="49"/>
        <v>6451200</v>
      </c>
      <c r="BM31" s="33">
        <v>1900</v>
      </c>
      <c r="BN31" s="33">
        <v>2150.4</v>
      </c>
      <c r="BO31" s="33">
        <v>4085760</v>
      </c>
      <c r="BP31" s="33"/>
      <c r="BQ31" s="33"/>
      <c r="BR31" s="33"/>
      <c r="BT31" s="65">
        <f t="shared" ref="BT31:BT89" si="53">SUMIF($BW$6:$DF$6,$BT$6,BW31:DF31)</f>
        <v>26460</v>
      </c>
      <c r="BU31" s="33">
        <f t="shared" si="20"/>
        <v>2150.3986807146839</v>
      </c>
      <c r="BV31" s="65">
        <f t="shared" si="22"/>
        <v>56899549.09171053</v>
      </c>
      <c r="BW31" s="33">
        <v>421</v>
      </c>
      <c r="BX31" s="33">
        <v>2150.340225531721</v>
      </c>
      <c r="BY31" s="33">
        <v>905293.23494885454</v>
      </c>
      <c r="BZ31" s="33">
        <v>163</v>
      </c>
      <c r="CA31" s="33">
        <v>2150.340225531721</v>
      </c>
      <c r="CB31" s="33">
        <v>350505.45676167053</v>
      </c>
      <c r="CC31" s="33">
        <v>991</v>
      </c>
      <c r="CD31" s="33">
        <v>2150.4</v>
      </c>
      <c r="CE31" s="33">
        <v>2131046.3999999999</v>
      </c>
      <c r="CF31" s="33">
        <v>1498</v>
      </c>
      <c r="CG31" s="33">
        <v>2150.4</v>
      </c>
      <c r="CH31" s="33">
        <v>3221299.2000000002</v>
      </c>
      <c r="CI31" s="33">
        <v>2677</v>
      </c>
      <c r="CJ31" s="33">
        <v>2150.4</v>
      </c>
      <c r="CK31" s="33">
        <v>5756620.7999999998</v>
      </c>
      <c r="CL31" s="33">
        <v>3579</v>
      </c>
      <c r="CM31" s="33">
        <v>2150.4</v>
      </c>
      <c r="CN31" s="33">
        <v>7696281.6000000006</v>
      </c>
      <c r="CO31" s="33">
        <v>3752</v>
      </c>
      <c r="CP31" s="33">
        <v>2150.4</v>
      </c>
      <c r="CQ31" s="33">
        <v>8068300.8000000007</v>
      </c>
      <c r="CR31" s="33">
        <v>4056</v>
      </c>
      <c r="CS31" s="33">
        <v>2150.4</v>
      </c>
      <c r="CT31" s="33">
        <v>8722022.4000000004</v>
      </c>
      <c r="CU31" s="33">
        <v>3963</v>
      </c>
      <c r="CV31" s="33">
        <v>2150.4</v>
      </c>
      <c r="CW31" s="33">
        <v>8522035.2000000011</v>
      </c>
      <c r="CX31" s="33">
        <v>3105</v>
      </c>
      <c r="CY31" s="33">
        <v>2150.4</v>
      </c>
      <c r="CZ31" s="33">
        <v>6676992</v>
      </c>
      <c r="DA31" s="33">
        <v>2255</v>
      </c>
      <c r="DB31" s="33">
        <v>2150.4</v>
      </c>
      <c r="DC31" s="33">
        <v>4849152</v>
      </c>
      <c r="DD31" s="33"/>
      <c r="DE31" s="33"/>
      <c r="DF31" s="66"/>
    </row>
    <row r="32" spans="1:110" ht="24.95" customHeight="1">
      <c r="A32" s="58">
        <v>21</v>
      </c>
      <c r="B32" s="84" t="s">
        <v>97</v>
      </c>
      <c r="C32" s="60" t="s">
        <v>50</v>
      </c>
      <c r="D32" s="61" t="s">
        <v>55</v>
      </c>
      <c r="E32" s="62" t="s">
        <v>98</v>
      </c>
      <c r="F32" s="60" t="s">
        <v>53</v>
      </c>
      <c r="G32" s="64">
        <v>1643</v>
      </c>
      <c r="H32" s="76">
        <v>3339</v>
      </c>
      <c r="I32" s="76">
        <v>5485977</v>
      </c>
      <c r="J32" s="33">
        <v>4500</v>
      </c>
      <c r="K32" s="33">
        <v>3339</v>
      </c>
      <c r="L32" s="33">
        <f t="shared" si="46"/>
        <v>15025500</v>
      </c>
      <c r="M32" s="34">
        <v>3870</v>
      </c>
      <c r="N32" s="33">
        <f t="shared" si="47"/>
        <v>3339</v>
      </c>
      <c r="O32" s="33">
        <f t="shared" si="50"/>
        <v>12921930</v>
      </c>
      <c r="P32" s="137">
        <f t="shared" si="13"/>
        <v>2273</v>
      </c>
      <c r="Q32" s="34">
        <f t="shared" si="14"/>
        <v>3339</v>
      </c>
      <c r="R32" s="33">
        <f t="shared" si="51"/>
        <v>7589547</v>
      </c>
      <c r="S32" s="36">
        <v>47033</v>
      </c>
      <c r="T32" s="34">
        <v>31400</v>
      </c>
      <c r="U32" s="34">
        <v>3339</v>
      </c>
      <c r="V32" s="34">
        <v>104844600</v>
      </c>
      <c r="W32" s="34">
        <v>29427</v>
      </c>
      <c r="X32" s="34">
        <v>3339</v>
      </c>
      <c r="Y32" s="34">
        <v>98256753</v>
      </c>
      <c r="Z32" s="34">
        <v>5000</v>
      </c>
      <c r="AA32" s="33">
        <v>3339</v>
      </c>
      <c r="AB32" s="34">
        <f t="shared" si="48"/>
        <v>16695000</v>
      </c>
      <c r="AC32" s="33">
        <v>300</v>
      </c>
      <c r="AD32" s="33">
        <v>3339</v>
      </c>
      <c r="AE32" s="33">
        <v>1001700</v>
      </c>
      <c r="AF32" s="65">
        <f t="shared" si="21"/>
        <v>31400</v>
      </c>
      <c r="AG32" s="33">
        <f t="shared" si="18"/>
        <v>3339</v>
      </c>
      <c r="AH32" s="65">
        <f t="shared" si="52"/>
        <v>104844600</v>
      </c>
      <c r="AI32" s="33">
        <v>600</v>
      </c>
      <c r="AJ32" s="33">
        <v>3339</v>
      </c>
      <c r="AK32" s="33">
        <v>2003400</v>
      </c>
      <c r="AL32" s="33"/>
      <c r="AM32" s="33"/>
      <c r="AN32" s="33"/>
      <c r="AO32" s="33">
        <v>1500</v>
      </c>
      <c r="AP32" s="33">
        <v>3339</v>
      </c>
      <c r="AQ32" s="33">
        <v>5008500</v>
      </c>
      <c r="AR32" s="33">
        <v>3000</v>
      </c>
      <c r="AS32" s="33">
        <v>3339</v>
      </c>
      <c r="AT32" s="33">
        <v>10017000</v>
      </c>
      <c r="AU32" s="33">
        <v>3300</v>
      </c>
      <c r="AV32" s="33">
        <v>3339</v>
      </c>
      <c r="AW32" s="33">
        <v>11018700</v>
      </c>
      <c r="AX32" s="33">
        <v>4000</v>
      </c>
      <c r="AY32" s="33">
        <v>3339</v>
      </c>
      <c r="AZ32" s="33">
        <v>13356000</v>
      </c>
      <c r="BA32" s="33">
        <v>4000</v>
      </c>
      <c r="BB32" s="33">
        <v>3339</v>
      </c>
      <c r="BC32" s="33">
        <v>13356000</v>
      </c>
      <c r="BD32" s="33">
        <v>3500</v>
      </c>
      <c r="BE32" s="33">
        <v>3339</v>
      </c>
      <c r="BF32" s="33">
        <v>11686500</v>
      </c>
      <c r="BG32" s="33">
        <v>3500</v>
      </c>
      <c r="BH32" s="33">
        <v>3339</v>
      </c>
      <c r="BI32" s="33">
        <v>11686500</v>
      </c>
      <c r="BJ32" s="33">
        <v>3500</v>
      </c>
      <c r="BK32" s="33">
        <v>3339</v>
      </c>
      <c r="BL32" s="33">
        <f t="shared" si="49"/>
        <v>11686500</v>
      </c>
      <c r="BM32" s="33">
        <v>4500</v>
      </c>
      <c r="BN32" s="33">
        <v>3339</v>
      </c>
      <c r="BO32" s="33">
        <v>15025500</v>
      </c>
      <c r="BP32" s="33"/>
      <c r="BQ32" s="33"/>
      <c r="BR32" s="33"/>
      <c r="BT32" s="65">
        <f t="shared" ref="BT32:BT39" si="54">SUMIF($BW$6:$DF$6,$BT$6,BW32:DF32)</f>
        <v>29427</v>
      </c>
      <c r="BU32" s="33">
        <f t="shared" si="20"/>
        <v>3339</v>
      </c>
      <c r="BV32" s="65">
        <f t="shared" si="22"/>
        <v>98256753</v>
      </c>
      <c r="BW32" s="33">
        <v>551</v>
      </c>
      <c r="BX32" s="33">
        <v>3339</v>
      </c>
      <c r="BY32" s="33">
        <v>1839789</v>
      </c>
      <c r="BZ32" s="33">
        <v>349</v>
      </c>
      <c r="CA32" s="33">
        <v>3339</v>
      </c>
      <c r="CB32" s="33">
        <v>1165311</v>
      </c>
      <c r="CC32" s="33">
        <v>1256</v>
      </c>
      <c r="CD32" s="33">
        <v>3339</v>
      </c>
      <c r="CE32" s="33">
        <v>4193784</v>
      </c>
      <c r="CF32" s="33">
        <v>1654</v>
      </c>
      <c r="CG32" s="33">
        <v>3339</v>
      </c>
      <c r="CH32" s="33">
        <v>5522706</v>
      </c>
      <c r="CI32" s="33">
        <v>2895</v>
      </c>
      <c r="CJ32" s="33">
        <v>3339</v>
      </c>
      <c r="CK32" s="33">
        <v>9666405</v>
      </c>
      <c r="CL32" s="33">
        <v>3824</v>
      </c>
      <c r="CM32" s="33">
        <v>3339</v>
      </c>
      <c r="CN32" s="33">
        <v>12768336</v>
      </c>
      <c r="CO32" s="33">
        <v>4181</v>
      </c>
      <c r="CP32" s="33">
        <v>3339</v>
      </c>
      <c r="CQ32" s="33">
        <v>13960359</v>
      </c>
      <c r="CR32" s="33">
        <v>3685</v>
      </c>
      <c r="CS32" s="33">
        <v>3339</v>
      </c>
      <c r="CT32" s="33">
        <v>12304215</v>
      </c>
      <c r="CU32" s="33">
        <v>3485</v>
      </c>
      <c r="CV32" s="33">
        <v>3339</v>
      </c>
      <c r="CW32" s="33">
        <v>11636415</v>
      </c>
      <c r="CX32" s="33">
        <v>3677</v>
      </c>
      <c r="CY32" s="33">
        <v>3339</v>
      </c>
      <c r="CZ32" s="33">
        <v>12277503</v>
      </c>
      <c r="DA32" s="33">
        <v>3870</v>
      </c>
      <c r="DB32" s="33">
        <v>3339</v>
      </c>
      <c r="DC32" s="33">
        <v>12921930</v>
      </c>
      <c r="DD32" s="33"/>
      <c r="DE32" s="33"/>
      <c r="DF32" s="66"/>
    </row>
    <row r="33" spans="1:110" ht="24.95" customHeight="1">
      <c r="A33" s="58">
        <v>22</v>
      </c>
      <c r="B33" s="84" t="s">
        <v>99</v>
      </c>
      <c r="C33" s="60" t="s">
        <v>50</v>
      </c>
      <c r="D33" s="61" t="s">
        <v>55</v>
      </c>
      <c r="E33" s="62" t="s">
        <v>95</v>
      </c>
      <c r="F33" s="60" t="s">
        <v>53</v>
      </c>
      <c r="G33" s="64">
        <v>1121</v>
      </c>
      <c r="H33" s="76">
        <v>1430.1002566358925</v>
      </c>
      <c r="I33" s="76">
        <v>1603142.3876888354</v>
      </c>
      <c r="J33" s="33">
        <v>2000</v>
      </c>
      <c r="K33" s="33">
        <v>1430.1</v>
      </c>
      <c r="L33" s="33">
        <f t="shared" si="46"/>
        <v>2860200</v>
      </c>
      <c r="M33" s="34">
        <v>1685</v>
      </c>
      <c r="N33" s="33">
        <f t="shared" si="47"/>
        <v>1430.1000921784157</v>
      </c>
      <c r="O33" s="33">
        <f t="shared" si="50"/>
        <v>2409718.6553206304</v>
      </c>
      <c r="P33" s="137">
        <f t="shared" si="13"/>
        <v>1436</v>
      </c>
      <c r="Q33" s="34">
        <f t="shared" si="14"/>
        <v>1430.1000921784157</v>
      </c>
      <c r="R33" s="33">
        <f t="shared" si="51"/>
        <v>2053623.732368205</v>
      </c>
      <c r="S33" s="36">
        <v>47027</v>
      </c>
      <c r="T33" s="34">
        <v>9900</v>
      </c>
      <c r="U33" s="34">
        <v>1430.1</v>
      </c>
      <c r="V33" s="34">
        <v>14157990</v>
      </c>
      <c r="W33" s="34">
        <v>8775</v>
      </c>
      <c r="X33" s="34">
        <v>1431.9902998224647</v>
      </c>
      <c r="Y33" s="34">
        <v>12565714.880942129</v>
      </c>
      <c r="Z33" s="34">
        <v>2000</v>
      </c>
      <c r="AA33" s="33">
        <v>1430.1011064236154</v>
      </c>
      <c r="AB33" s="34">
        <f t="shared" si="48"/>
        <v>2860202.212847231</v>
      </c>
      <c r="AC33" s="33">
        <v>311</v>
      </c>
      <c r="AD33" s="33">
        <v>1483.4360556602339</v>
      </c>
      <c r="AE33" s="33">
        <v>461348.61331033276</v>
      </c>
      <c r="AF33" s="65">
        <f t="shared" si="21"/>
        <v>9900</v>
      </c>
      <c r="AG33" s="33">
        <f t="shared" si="18"/>
        <v>1430.1</v>
      </c>
      <c r="AH33" s="65">
        <f t="shared" si="52"/>
        <v>14157990</v>
      </c>
      <c r="AI33" s="33">
        <v>600</v>
      </c>
      <c r="AJ33" s="33">
        <v>1430.1</v>
      </c>
      <c r="AK33" s="33">
        <v>858060</v>
      </c>
      <c r="AL33" s="33"/>
      <c r="AM33" s="33"/>
      <c r="AN33" s="33"/>
      <c r="AO33" s="33">
        <v>400</v>
      </c>
      <c r="AP33" s="33">
        <v>1430.1</v>
      </c>
      <c r="AQ33" s="33">
        <v>572040</v>
      </c>
      <c r="AR33" s="33">
        <v>600</v>
      </c>
      <c r="AS33" s="33">
        <v>1430.1</v>
      </c>
      <c r="AT33" s="33">
        <v>858060</v>
      </c>
      <c r="AU33" s="33">
        <v>700</v>
      </c>
      <c r="AV33" s="33">
        <v>1430.1</v>
      </c>
      <c r="AW33" s="33">
        <v>1001069.9999999999</v>
      </c>
      <c r="AX33" s="33">
        <v>800</v>
      </c>
      <c r="AY33" s="33">
        <v>1430.1</v>
      </c>
      <c r="AZ33" s="33">
        <v>1144080</v>
      </c>
      <c r="BA33" s="33">
        <v>800</v>
      </c>
      <c r="BB33" s="33">
        <v>1430.1</v>
      </c>
      <c r="BC33" s="33">
        <v>1144080</v>
      </c>
      <c r="BD33" s="33">
        <v>800</v>
      </c>
      <c r="BE33" s="33">
        <v>1430.1</v>
      </c>
      <c r="BF33" s="33">
        <v>1144080</v>
      </c>
      <c r="BG33" s="33">
        <v>1200</v>
      </c>
      <c r="BH33" s="33">
        <v>1430.1</v>
      </c>
      <c r="BI33" s="33">
        <v>1716120</v>
      </c>
      <c r="BJ33" s="33">
        <v>2000</v>
      </c>
      <c r="BK33" s="33">
        <v>1430.1</v>
      </c>
      <c r="BL33" s="33">
        <f t="shared" si="49"/>
        <v>2860200</v>
      </c>
      <c r="BM33" s="33">
        <v>2000</v>
      </c>
      <c r="BN33" s="33">
        <v>1430.1</v>
      </c>
      <c r="BO33" s="33">
        <v>2860200</v>
      </c>
      <c r="BP33" s="33"/>
      <c r="BQ33" s="33"/>
      <c r="BR33" s="33"/>
      <c r="BT33" s="65">
        <f t="shared" si="54"/>
        <v>8775</v>
      </c>
      <c r="BU33" s="33">
        <f t="shared" si="20"/>
        <v>1431.9902998224647</v>
      </c>
      <c r="BV33" s="65">
        <f t="shared" si="22"/>
        <v>12565714.880942129</v>
      </c>
      <c r="BW33" s="33">
        <v>475</v>
      </c>
      <c r="BX33" s="33">
        <v>1448.3080277830218</v>
      </c>
      <c r="BY33" s="33">
        <v>687946.31319693534</v>
      </c>
      <c r="BZ33" s="33">
        <v>354</v>
      </c>
      <c r="CA33" s="33">
        <v>1448.3080277830218</v>
      </c>
      <c r="CB33" s="33">
        <v>512701.04183518968</v>
      </c>
      <c r="CC33" s="33">
        <v>388</v>
      </c>
      <c r="CD33" s="33">
        <v>1433.1976312825886</v>
      </c>
      <c r="CE33" s="33">
        <v>556080.68093764444</v>
      </c>
      <c r="CF33" s="33">
        <v>409</v>
      </c>
      <c r="CG33" s="33">
        <v>1430.5195638913017</v>
      </c>
      <c r="CH33" s="33">
        <v>585082.50163154234</v>
      </c>
      <c r="CI33" s="33">
        <v>598</v>
      </c>
      <c r="CJ33" s="33">
        <v>1430.2213966589043</v>
      </c>
      <c r="CK33" s="33">
        <v>855272.39520202472</v>
      </c>
      <c r="CL33" s="33">
        <v>745</v>
      </c>
      <c r="CM33" s="33">
        <v>1430.1395791971322</v>
      </c>
      <c r="CN33" s="33">
        <v>1065453.9865018635</v>
      </c>
      <c r="CO33" s="33">
        <v>775</v>
      </c>
      <c r="CP33" s="33">
        <v>1430.1140853503482</v>
      </c>
      <c r="CQ33" s="33">
        <v>1108338.4161465198</v>
      </c>
      <c r="CR33" s="33">
        <v>942</v>
      </c>
      <c r="CS33" s="33">
        <v>1430.1051916800416</v>
      </c>
      <c r="CT33" s="33">
        <v>1347159.0905625992</v>
      </c>
      <c r="CU33" s="33">
        <v>921</v>
      </c>
      <c r="CV33" s="33">
        <v>1430.1011064236154</v>
      </c>
      <c r="CW33" s="33">
        <v>1317123.1190161498</v>
      </c>
      <c r="CX33" s="33">
        <v>1483</v>
      </c>
      <c r="CY33" s="33">
        <v>1430.1002566358925</v>
      </c>
      <c r="CZ33" s="33">
        <v>2120838.6805910286</v>
      </c>
      <c r="DA33" s="33">
        <v>1685</v>
      </c>
      <c r="DB33" s="33">
        <v>1430.1000921784157</v>
      </c>
      <c r="DC33" s="33">
        <v>2409718.6553206304</v>
      </c>
      <c r="DD33" s="33"/>
      <c r="DE33" s="33"/>
      <c r="DF33" s="66"/>
    </row>
    <row r="34" spans="1:110" ht="24.95" customHeight="1">
      <c r="A34" s="58">
        <v>23</v>
      </c>
      <c r="B34" s="84" t="s">
        <v>100</v>
      </c>
      <c r="C34" s="60" t="s">
        <v>50</v>
      </c>
      <c r="D34" s="61" t="s">
        <v>55</v>
      </c>
      <c r="E34" s="62" t="s">
        <v>101</v>
      </c>
      <c r="F34" s="60" t="s">
        <v>53</v>
      </c>
      <c r="G34" s="64">
        <v>141</v>
      </c>
      <c r="H34" s="76">
        <v>1380.75</v>
      </c>
      <c r="I34" s="76">
        <v>194685.75</v>
      </c>
      <c r="J34" s="33">
        <v>500</v>
      </c>
      <c r="K34" s="33">
        <v>1380.75</v>
      </c>
      <c r="L34" s="33">
        <f t="shared" si="46"/>
        <v>690375</v>
      </c>
      <c r="M34" s="34">
        <v>268</v>
      </c>
      <c r="N34" s="33">
        <f t="shared" si="47"/>
        <v>1380.75</v>
      </c>
      <c r="O34" s="33">
        <f t="shared" si="50"/>
        <v>370041</v>
      </c>
      <c r="P34" s="137">
        <f t="shared" si="13"/>
        <v>373</v>
      </c>
      <c r="Q34" s="34">
        <f t="shared" si="14"/>
        <v>1380.75</v>
      </c>
      <c r="R34" s="33">
        <f t="shared" si="51"/>
        <v>515019.75</v>
      </c>
      <c r="S34" s="36">
        <v>46799</v>
      </c>
      <c r="T34" s="34">
        <v>2100</v>
      </c>
      <c r="U34" s="34">
        <v>1380.75</v>
      </c>
      <c r="V34" s="34">
        <v>2899575</v>
      </c>
      <c r="W34" s="34">
        <v>2144</v>
      </c>
      <c r="X34" s="34">
        <v>1380.75</v>
      </c>
      <c r="Y34" s="34">
        <v>2960328</v>
      </c>
      <c r="Z34" s="34">
        <v>200</v>
      </c>
      <c r="AA34" s="33">
        <v>1380.75</v>
      </c>
      <c r="AB34" s="34">
        <f t="shared" si="48"/>
        <v>276150</v>
      </c>
      <c r="AC34" s="33">
        <v>417</v>
      </c>
      <c r="AD34" s="33">
        <v>1380.75</v>
      </c>
      <c r="AE34" s="33">
        <v>575772.75</v>
      </c>
      <c r="AF34" s="65">
        <f t="shared" si="21"/>
        <v>2100</v>
      </c>
      <c r="AG34" s="33">
        <f t="shared" si="18"/>
        <v>1380.75</v>
      </c>
      <c r="AH34" s="65">
        <f t="shared" si="52"/>
        <v>2899575</v>
      </c>
      <c r="AI34" s="33">
        <v>600</v>
      </c>
      <c r="AJ34" s="33">
        <v>1380.75</v>
      </c>
      <c r="AK34" s="33">
        <v>828450</v>
      </c>
      <c r="AL34" s="33"/>
      <c r="AM34" s="33"/>
      <c r="AN34" s="33"/>
      <c r="AO34" s="33">
        <v>200</v>
      </c>
      <c r="AP34" s="33">
        <v>1380.75</v>
      </c>
      <c r="AQ34" s="33">
        <v>276150</v>
      </c>
      <c r="AR34" s="33">
        <v>100</v>
      </c>
      <c r="AS34" s="33">
        <v>1380.75</v>
      </c>
      <c r="AT34" s="33">
        <v>138075</v>
      </c>
      <c r="AU34" s="33">
        <v>100</v>
      </c>
      <c r="AV34" s="33">
        <v>1380.75</v>
      </c>
      <c r="AW34" s="33">
        <v>138075</v>
      </c>
      <c r="AX34" s="33">
        <v>100</v>
      </c>
      <c r="AY34" s="33">
        <v>1380.75</v>
      </c>
      <c r="AZ34" s="33">
        <v>138075</v>
      </c>
      <c r="BA34" s="33">
        <v>200</v>
      </c>
      <c r="BB34" s="33">
        <v>1380.75</v>
      </c>
      <c r="BC34" s="33">
        <v>276150</v>
      </c>
      <c r="BD34" s="33">
        <v>100</v>
      </c>
      <c r="BE34" s="33">
        <v>1380.75</v>
      </c>
      <c r="BF34" s="33">
        <v>138075</v>
      </c>
      <c r="BG34" s="33">
        <v>100</v>
      </c>
      <c r="BH34" s="33">
        <v>1380.75</v>
      </c>
      <c r="BI34" s="33">
        <v>138075</v>
      </c>
      <c r="BJ34" s="33">
        <v>100</v>
      </c>
      <c r="BK34" s="33">
        <v>1380.75</v>
      </c>
      <c r="BL34" s="33">
        <f t="shared" si="49"/>
        <v>138075</v>
      </c>
      <c r="BM34" s="33">
        <v>500</v>
      </c>
      <c r="BN34" s="33">
        <v>1380.75</v>
      </c>
      <c r="BO34" s="33">
        <v>690375</v>
      </c>
      <c r="BP34" s="33"/>
      <c r="BQ34" s="33"/>
      <c r="BR34" s="33"/>
      <c r="BT34" s="65">
        <f t="shared" si="54"/>
        <v>2144</v>
      </c>
      <c r="BU34" s="33">
        <f t="shared" si="20"/>
        <v>1380.75</v>
      </c>
      <c r="BV34" s="65">
        <f t="shared" si="22"/>
        <v>2960328</v>
      </c>
      <c r="BW34" s="33">
        <v>475</v>
      </c>
      <c r="BX34" s="33">
        <v>1380.75</v>
      </c>
      <c r="BY34" s="33">
        <v>655856.25</v>
      </c>
      <c r="BZ34" s="33">
        <v>412</v>
      </c>
      <c r="CA34" s="33">
        <v>1380.75</v>
      </c>
      <c r="CB34" s="33">
        <v>568869</v>
      </c>
      <c r="CC34" s="33">
        <v>258</v>
      </c>
      <c r="CD34" s="33">
        <v>1380.75</v>
      </c>
      <c r="CE34" s="33">
        <v>356233.5</v>
      </c>
      <c r="CF34" s="33">
        <v>112</v>
      </c>
      <c r="CG34" s="33">
        <v>1380.75</v>
      </c>
      <c r="CH34" s="33">
        <v>154644</v>
      </c>
      <c r="CI34" s="33">
        <v>94</v>
      </c>
      <c r="CJ34" s="33">
        <v>1380.75</v>
      </c>
      <c r="CK34" s="33">
        <v>129790.5</v>
      </c>
      <c r="CL34" s="33">
        <v>64</v>
      </c>
      <c r="CM34" s="33">
        <v>1380.75</v>
      </c>
      <c r="CN34" s="33">
        <v>88368</v>
      </c>
      <c r="CO34" s="33">
        <v>161</v>
      </c>
      <c r="CP34" s="33">
        <v>1380.75</v>
      </c>
      <c r="CQ34" s="33">
        <v>222300.75</v>
      </c>
      <c r="CR34" s="33">
        <v>85</v>
      </c>
      <c r="CS34" s="33">
        <v>1380.75</v>
      </c>
      <c r="CT34" s="33">
        <v>117363.75</v>
      </c>
      <c r="CU34" s="33">
        <v>103</v>
      </c>
      <c r="CV34" s="33">
        <v>1380.75</v>
      </c>
      <c r="CW34" s="33">
        <v>142217.25</v>
      </c>
      <c r="CX34" s="33">
        <v>112</v>
      </c>
      <c r="CY34" s="33">
        <v>1380.75</v>
      </c>
      <c r="CZ34" s="33">
        <v>154644</v>
      </c>
      <c r="DA34" s="33">
        <v>268</v>
      </c>
      <c r="DB34" s="33">
        <v>1380.75</v>
      </c>
      <c r="DC34" s="33">
        <v>370041</v>
      </c>
      <c r="DD34" s="33"/>
      <c r="DE34" s="33"/>
      <c r="DF34" s="66"/>
    </row>
    <row r="35" spans="1:110" ht="24.95" customHeight="1">
      <c r="A35" s="58">
        <v>24</v>
      </c>
      <c r="B35" s="84" t="s">
        <v>102</v>
      </c>
      <c r="C35" s="60" t="s">
        <v>50</v>
      </c>
      <c r="D35" s="61" t="s">
        <v>55</v>
      </c>
      <c r="E35" s="62" t="s">
        <v>98</v>
      </c>
      <c r="F35" s="60" t="s">
        <v>53</v>
      </c>
      <c r="G35" s="64">
        <v>149</v>
      </c>
      <c r="H35" s="76">
        <v>1874.25</v>
      </c>
      <c r="I35" s="76">
        <v>279263.25</v>
      </c>
      <c r="J35" s="33">
        <v>200</v>
      </c>
      <c r="K35" s="33">
        <v>1874.25</v>
      </c>
      <c r="L35" s="33">
        <f t="shared" si="46"/>
        <v>374850</v>
      </c>
      <c r="M35" s="34">
        <v>171</v>
      </c>
      <c r="N35" s="33">
        <f t="shared" si="47"/>
        <v>1874.25</v>
      </c>
      <c r="O35" s="33">
        <f t="shared" si="50"/>
        <v>320496.75</v>
      </c>
      <c r="P35" s="137">
        <f t="shared" si="13"/>
        <v>178</v>
      </c>
      <c r="Q35" s="34">
        <f t="shared" si="14"/>
        <v>1874.25</v>
      </c>
      <c r="R35" s="33">
        <f t="shared" si="51"/>
        <v>333616.5</v>
      </c>
      <c r="S35" s="36">
        <v>46830</v>
      </c>
      <c r="T35" s="34">
        <v>3600</v>
      </c>
      <c r="U35" s="34">
        <v>1874.25</v>
      </c>
      <c r="V35" s="34">
        <v>6747300</v>
      </c>
      <c r="W35" s="34">
        <v>3722</v>
      </c>
      <c r="X35" s="34">
        <v>1874.25</v>
      </c>
      <c r="Y35" s="34">
        <v>6975958.5</v>
      </c>
      <c r="Z35" s="34">
        <v>200</v>
      </c>
      <c r="AA35" s="33">
        <v>1874.25</v>
      </c>
      <c r="AB35" s="34">
        <f t="shared" si="48"/>
        <v>374850</v>
      </c>
      <c r="AC35" s="33">
        <v>300</v>
      </c>
      <c r="AD35" s="33">
        <v>1874.25</v>
      </c>
      <c r="AE35" s="33">
        <v>562275</v>
      </c>
      <c r="AF35" s="65">
        <f t="shared" si="21"/>
        <v>3600</v>
      </c>
      <c r="AG35" s="33">
        <f t="shared" si="18"/>
        <v>1874.25</v>
      </c>
      <c r="AH35" s="65">
        <f t="shared" si="52"/>
        <v>6747300</v>
      </c>
      <c r="AI35" s="33">
        <v>700</v>
      </c>
      <c r="AJ35" s="33">
        <v>1874.25</v>
      </c>
      <c r="AK35" s="33">
        <v>1311975</v>
      </c>
      <c r="AL35" s="33"/>
      <c r="AM35" s="33"/>
      <c r="AN35" s="33"/>
      <c r="AO35" s="33">
        <v>300</v>
      </c>
      <c r="AP35" s="33">
        <v>1874.25</v>
      </c>
      <c r="AQ35" s="33">
        <v>562275</v>
      </c>
      <c r="AR35" s="33">
        <v>300</v>
      </c>
      <c r="AS35" s="33">
        <v>1874.25</v>
      </c>
      <c r="AT35" s="33">
        <v>562275</v>
      </c>
      <c r="AU35" s="33">
        <v>300</v>
      </c>
      <c r="AV35" s="33">
        <v>1874.25</v>
      </c>
      <c r="AW35" s="33">
        <v>562275</v>
      </c>
      <c r="AX35" s="33">
        <v>400</v>
      </c>
      <c r="AY35" s="33">
        <v>1874.25</v>
      </c>
      <c r="AZ35" s="33">
        <v>749700</v>
      </c>
      <c r="BA35" s="33">
        <v>400</v>
      </c>
      <c r="BB35" s="33">
        <v>1874.25</v>
      </c>
      <c r="BC35" s="33">
        <v>749700</v>
      </c>
      <c r="BD35" s="33">
        <v>400</v>
      </c>
      <c r="BE35" s="33">
        <v>1874.25</v>
      </c>
      <c r="BF35" s="33">
        <v>749700</v>
      </c>
      <c r="BG35" s="33">
        <v>400</v>
      </c>
      <c r="BH35" s="33">
        <v>1874.25</v>
      </c>
      <c r="BI35" s="33">
        <v>749700</v>
      </c>
      <c r="BJ35" s="33">
        <v>200</v>
      </c>
      <c r="BK35" s="33">
        <v>1874.25</v>
      </c>
      <c r="BL35" s="33">
        <f t="shared" si="49"/>
        <v>374850</v>
      </c>
      <c r="BM35" s="33">
        <v>200</v>
      </c>
      <c r="BN35" s="33">
        <v>1874.25</v>
      </c>
      <c r="BO35" s="33">
        <v>374850</v>
      </c>
      <c r="BP35" s="33"/>
      <c r="BQ35" s="33"/>
      <c r="BR35" s="33"/>
      <c r="BT35" s="65">
        <f t="shared" si="54"/>
        <v>3722</v>
      </c>
      <c r="BU35" s="33">
        <f t="shared" si="20"/>
        <v>1874.25</v>
      </c>
      <c r="BV35" s="65">
        <f t="shared" si="22"/>
        <v>6975958.5</v>
      </c>
      <c r="BW35" s="33">
        <v>474</v>
      </c>
      <c r="BX35" s="33">
        <v>1874.25</v>
      </c>
      <c r="BY35" s="33">
        <v>888394.5</v>
      </c>
      <c r="BZ35" s="33">
        <v>357</v>
      </c>
      <c r="CA35" s="33">
        <v>1874.25</v>
      </c>
      <c r="CB35" s="33">
        <v>669107.25</v>
      </c>
      <c r="CC35" s="33">
        <v>263</v>
      </c>
      <c r="CD35" s="33">
        <v>1874.25</v>
      </c>
      <c r="CE35" s="33">
        <v>492927.75</v>
      </c>
      <c r="CF35" s="33">
        <v>384</v>
      </c>
      <c r="CG35" s="33">
        <v>1874.25</v>
      </c>
      <c r="CH35" s="33">
        <v>719712</v>
      </c>
      <c r="CI35" s="33">
        <v>305</v>
      </c>
      <c r="CJ35" s="33">
        <v>1874.25</v>
      </c>
      <c r="CK35" s="33">
        <v>571646.25</v>
      </c>
      <c r="CL35" s="33">
        <v>298</v>
      </c>
      <c r="CM35" s="33">
        <v>1874.25</v>
      </c>
      <c r="CN35" s="33">
        <v>558526.5</v>
      </c>
      <c r="CO35" s="33">
        <v>352</v>
      </c>
      <c r="CP35" s="33">
        <v>1874.25</v>
      </c>
      <c r="CQ35" s="33">
        <v>659736</v>
      </c>
      <c r="CR35" s="33">
        <v>462</v>
      </c>
      <c r="CS35" s="33">
        <v>1874.25</v>
      </c>
      <c r="CT35" s="33">
        <v>865903.5</v>
      </c>
      <c r="CU35" s="33">
        <v>389</v>
      </c>
      <c r="CV35" s="33">
        <v>1874.25</v>
      </c>
      <c r="CW35" s="33">
        <v>729083.25</v>
      </c>
      <c r="CX35" s="33">
        <v>267</v>
      </c>
      <c r="CY35" s="33">
        <v>1874.25</v>
      </c>
      <c r="CZ35" s="33">
        <v>500424.75</v>
      </c>
      <c r="DA35" s="33">
        <v>171</v>
      </c>
      <c r="DB35" s="33">
        <v>1874.25</v>
      </c>
      <c r="DC35" s="33">
        <v>320496.75</v>
      </c>
      <c r="DD35" s="33"/>
      <c r="DE35" s="33"/>
      <c r="DF35" s="66"/>
    </row>
    <row r="36" spans="1:110" ht="24.95" customHeight="1">
      <c r="A36" s="58">
        <v>25</v>
      </c>
      <c r="B36" s="84" t="s">
        <v>103</v>
      </c>
      <c r="C36" s="60" t="s">
        <v>50</v>
      </c>
      <c r="D36" s="61" t="s">
        <v>104</v>
      </c>
      <c r="E36" s="62" t="s">
        <v>52</v>
      </c>
      <c r="F36" s="60" t="s">
        <v>53</v>
      </c>
      <c r="G36" s="64">
        <v>462</v>
      </c>
      <c r="H36" s="76">
        <v>11760</v>
      </c>
      <c r="I36" s="76">
        <v>5433120</v>
      </c>
      <c r="J36" s="33">
        <v>700</v>
      </c>
      <c r="K36" s="33">
        <v>11760</v>
      </c>
      <c r="L36" s="33">
        <f t="shared" si="46"/>
        <v>8232000</v>
      </c>
      <c r="M36" s="34">
        <v>742</v>
      </c>
      <c r="N36" s="33">
        <f t="shared" si="47"/>
        <v>11760</v>
      </c>
      <c r="O36" s="33">
        <f t="shared" si="50"/>
        <v>8725920</v>
      </c>
      <c r="P36" s="137">
        <f t="shared" si="13"/>
        <v>420</v>
      </c>
      <c r="Q36" s="34">
        <f t="shared" si="14"/>
        <v>11760</v>
      </c>
      <c r="R36" s="33">
        <f t="shared" si="51"/>
        <v>4939200</v>
      </c>
      <c r="S36" s="36">
        <v>46990</v>
      </c>
      <c r="T36" s="34">
        <v>2550</v>
      </c>
      <c r="U36" s="34">
        <v>11760</v>
      </c>
      <c r="V36" s="34">
        <v>29988000</v>
      </c>
      <c r="W36" s="34">
        <v>2130</v>
      </c>
      <c r="X36" s="34">
        <v>11760</v>
      </c>
      <c r="Y36" s="34">
        <v>25048800</v>
      </c>
      <c r="Z36" s="34">
        <v>700</v>
      </c>
      <c r="AA36" s="33">
        <v>11760</v>
      </c>
      <c r="AB36" s="34">
        <f t="shared" si="48"/>
        <v>8232000</v>
      </c>
      <c r="AC36" s="33"/>
      <c r="AD36" s="33"/>
      <c r="AE36" s="33"/>
      <c r="AF36" s="65">
        <f t="shared" si="21"/>
        <v>2550</v>
      </c>
      <c r="AG36" s="33">
        <f t="shared" si="18"/>
        <v>11760</v>
      </c>
      <c r="AH36" s="65">
        <f t="shared" si="52"/>
        <v>29988000</v>
      </c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>
        <v>140</v>
      </c>
      <c r="BB36" s="33">
        <v>11760</v>
      </c>
      <c r="BC36" s="33">
        <v>1646400</v>
      </c>
      <c r="BD36" s="33">
        <v>210</v>
      </c>
      <c r="BE36" s="33">
        <v>11760</v>
      </c>
      <c r="BF36" s="33">
        <v>2469600</v>
      </c>
      <c r="BG36" s="33">
        <v>1000</v>
      </c>
      <c r="BH36" s="33">
        <v>11760</v>
      </c>
      <c r="BI36" s="33">
        <v>11760000</v>
      </c>
      <c r="BJ36" s="33">
        <v>500</v>
      </c>
      <c r="BK36" s="33">
        <v>11760</v>
      </c>
      <c r="BL36" s="33">
        <f t="shared" si="49"/>
        <v>5880000</v>
      </c>
      <c r="BM36" s="33">
        <v>700</v>
      </c>
      <c r="BN36" s="33">
        <v>11760</v>
      </c>
      <c r="BO36" s="33">
        <v>8232000</v>
      </c>
      <c r="BP36" s="33"/>
      <c r="BQ36" s="33"/>
      <c r="BR36" s="33"/>
      <c r="BT36" s="65">
        <f t="shared" si="54"/>
        <v>2130</v>
      </c>
      <c r="BU36" s="33">
        <f t="shared" si="20"/>
        <v>11760</v>
      </c>
      <c r="BV36" s="65">
        <f t="shared" si="22"/>
        <v>25048800</v>
      </c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>
        <v>45</v>
      </c>
      <c r="CP36" s="33">
        <v>11760</v>
      </c>
      <c r="CQ36" s="33">
        <v>529200</v>
      </c>
      <c r="CR36" s="33">
        <v>188</v>
      </c>
      <c r="CS36" s="33">
        <v>11760</v>
      </c>
      <c r="CT36" s="33">
        <v>2210880</v>
      </c>
      <c r="CU36" s="33">
        <v>471</v>
      </c>
      <c r="CV36" s="33">
        <v>11760</v>
      </c>
      <c r="CW36" s="33">
        <v>5538960</v>
      </c>
      <c r="CX36" s="33">
        <v>684</v>
      </c>
      <c r="CY36" s="33">
        <v>11760</v>
      </c>
      <c r="CZ36" s="33">
        <v>8043840</v>
      </c>
      <c r="DA36" s="33">
        <v>742</v>
      </c>
      <c r="DB36" s="33">
        <v>11760</v>
      </c>
      <c r="DC36" s="33">
        <v>8725920</v>
      </c>
      <c r="DD36" s="33"/>
      <c r="DE36" s="33"/>
      <c r="DF36" s="66"/>
    </row>
    <row r="37" spans="1:110" ht="24.95" customHeight="1">
      <c r="A37" s="58">
        <v>26</v>
      </c>
      <c r="B37" s="84" t="s">
        <v>105</v>
      </c>
      <c r="C37" s="60" t="s">
        <v>50</v>
      </c>
      <c r="D37" s="61" t="s">
        <v>55</v>
      </c>
      <c r="E37" s="62" t="s">
        <v>52</v>
      </c>
      <c r="F37" s="60" t="s">
        <v>53</v>
      </c>
      <c r="G37" s="64">
        <v>419</v>
      </c>
      <c r="H37" s="76">
        <v>5953.731502406361</v>
      </c>
      <c r="I37" s="76">
        <v>2494613.4995082654</v>
      </c>
      <c r="J37" s="33">
        <v>500</v>
      </c>
      <c r="K37" s="33">
        <v>5943</v>
      </c>
      <c r="L37" s="33">
        <f t="shared" si="46"/>
        <v>2971500</v>
      </c>
      <c r="M37" s="34">
        <v>523</v>
      </c>
      <c r="N37" s="33">
        <f t="shared" si="47"/>
        <v>5947.8928177456646</v>
      </c>
      <c r="O37" s="33">
        <f t="shared" si="50"/>
        <v>3110747.9436809826</v>
      </c>
      <c r="P37" s="137">
        <f t="shared" si="13"/>
        <v>396</v>
      </c>
      <c r="Q37" s="34">
        <f t="shared" si="14"/>
        <v>5947.8928177456646</v>
      </c>
      <c r="R37" s="33">
        <f t="shared" si="51"/>
        <v>2355365.5558272833</v>
      </c>
      <c r="S37" s="36">
        <v>46557</v>
      </c>
      <c r="T37" s="34">
        <v>2200</v>
      </c>
      <c r="U37" s="34">
        <v>5984.284090909091</v>
      </c>
      <c r="V37" s="34">
        <v>13165425</v>
      </c>
      <c r="W37" s="34">
        <v>1804</v>
      </c>
      <c r="X37" s="34">
        <v>5992.2724191644775</v>
      </c>
      <c r="Y37" s="34">
        <v>10810059.444172718</v>
      </c>
      <c r="Z37" s="34">
        <v>600</v>
      </c>
      <c r="AA37" s="33">
        <v>5967.6685185185188</v>
      </c>
      <c r="AB37" s="34">
        <f t="shared" si="48"/>
        <v>3580601.1111111115</v>
      </c>
      <c r="AC37" s="33"/>
      <c r="AD37" s="33"/>
      <c r="AE37" s="33"/>
      <c r="AF37" s="65">
        <f t="shared" si="21"/>
        <v>2200</v>
      </c>
      <c r="AG37" s="33">
        <f t="shared" si="18"/>
        <v>5984.284090909091</v>
      </c>
      <c r="AH37" s="65">
        <f t="shared" si="52"/>
        <v>13165425</v>
      </c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>
        <v>500</v>
      </c>
      <c r="BE37" s="33">
        <v>6124.65</v>
      </c>
      <c r="BF37" s="33">
        <v>3062325</v>
      </c>
      <c r="BG37" s="33">
        <v>700</v>
      </c>
      <c r="BH37" s="33">
        <v>5943</v>
      </c>
      <c r="BI37" s="33">
        <v>4160100</v>
      </c>
      <c r="BJ37" s="33">
        <v>500</v>
      </c>
      <c r="BK37" s="33">
        <v>5943</v>
      </c>
      <c r="BL37" s="33">
        <f t="shared" si="49"/>
        <v>2971500</v>
      </c>
      <c r="BM37" s="33">
        <v>500</v>
      </c>
      <c r="BN37" s="33">
        <v>5943</v>
      </c>
      <c r="BO37" s="33">
        <v>2971500</v>
      </c>
      <c r="BP37" s="33"/>
      <c r="BQ37" s="33"/>
      <c r="BR37" s="33"/>
      <c r="BT37" s="65">
        <f t="shared" si="54"/>
        <v>1804</v>
      </c>
      <c r="BU37" s="33">
        <f t="shared" si="20"/>
        <v>5992.2724191644775</v>
      </c>
      <c r="BV37" s="65">
        <f t="shared" si="22"/>
        <v>10810059.444172718</v>
      </c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>
        <v>0</v>
      </c>
      <c r="CQ37" s="33">
        <v>0</v>
      </c>
      <c r="CR37" s="33">
        <v>390</v>
      </c>
      <c r="CS37" s="33">
        <v>6124.65</v>
      </c>
      <c r="CT37" s="33">
        <v>2388613.5</v>
      </c>
      <c r="CU37" s="33">
        <v>425</v>
      </c>
      <c r="CV37" s="33">
        <v>5967.6685185185188</v>
      </c>
      <c r="CW37" s="33">
        <v>2536259.1203703703</v>
      </c>
      <c r="CX37" s="33">
        <v>466</v>
      </c>
      <c r="CY37" s="33">
        <v>5953.731502406361</v>
      </c>
      <c r="CZ37" s="33">
        <v>2774438.8801213643</v>
      </c>
      <c r="DA37" s="33">
        <v>523</v>
      </c>
      <c r="DB37" s="33">
        <v>5947.8928177456646</v>
      </c>
      <c r="DC37" s="33">
        <v>3110747.9436809826</v>
      </c>
      <c r="DD37" s="33"/>
      <c r="DE37" s="33"/>
      <c r="DF37" s="66"/>
    </row>
    <row r="38" spans="1:110" ht="24.95" customHeight="1">
      <c r="A38" s="58">
        <v>27</v>
      </c>
      <c r="B38" s="84" t="s">
        <v>130</v>
      </c>
      <c r="C38" s="60" t="s">
        <v>50</v>
      </c>
      <c r="D38" s="61" t="s">
        <v>131</v>
      </c>
      <c r="E38" s="62" t="s">
        <v>95</v>
      </c>
      <c r="F38" s="60" t="s">
        <v>53</v>
      </c>
      <c r="G38" s="64">
        <v>0</v>
      </c>
      <c r="H38" s="76">
        <v>0</v>
      </c>
      <c r="I38" s="76">
        <v>0</v>
      </c>
      <c r="J38" s="33"/>
      <c r="K38" s="33">
        <v>0</v>
      </c>
      <c r="L38" s="33">
        <f t="shared" si="46"/>
        <v>0</v>
      </c>
      <c r="M38" s="34"/>
      <c r="N38" s="33">
        <f t="shared" si="47"/>
        <v>0</v>
      </c>
      <c r="O38" s="33">
        <f t="shared" si="50"/>
        <v>0</v>
      </c>
      <c r="P38" s="137">
        <f t="shared" si="13"/>
        <v>0</v>
      </c>
      <c r="Q38" s="34">
        <f t="shared" si="14"/>
        <v>0</v>
      </c>
      <c r="R38" s="33">
        <f t="shared" si="51"/>
        <v>0</v>
      </c>
      <c r="S38" s="36">
        <v>46303</v>
      </c>
      <c r="T38" s="34">
        <v>1130</v>
      </c>
      <c r="U38" s="34">
        <v>6063.75</v>
      </c>
      <c r="V38" s="34">
        <v>6852037.5</v>
      </c>
      <c r="W38" s="34">
        <v>1414</v>
      </c>
      <c r="X38" s="34">
        <v>6063.6455701888217</v>
      </c>
      <c r="Y38" s="34">
        <v>8573994.8362469934</v>
      </c>
      <c r="Z38" s="34"/>
      <c r="AA38" s="33">
        <v>0</v>
      </c>
      <c r="AB38" s="34">
        <f t="shared" si="48"/>
        <v>0</v>
      </c>
      <c r="AC38" s="33">
        <v>284</v>
      </c>
      <c r="AD38" s="33">
        <v>6063.2300572077202</v>
      </c>
      <c r="AE38" s="33">
        <v>1721957.3362469925</v>
      </c>
      <c r="AF38" s="65">
        <f t="shared" si="21"/>
        <v>1130</v>
      </c>
      <c r="AG38" s="33">
        <f t="shared" si="18"/>
        <v>6063.75</v>
      </c>
      <c r="AH38" s="65">
        <f t="shared" si="52"/>
        <v>6852037.5</v>
      </c>
      <c r="AI38" s="33">
        <v>500</v>
      </c>
      <c r="AJ38" s="33">
        <v>6063.75</v>
      </c>
      <c r="AK38" s="33">
        <v>3031875</v>
      </c>
      <c r="AL38" s="33"/>
      <c r="AM38" s="33"/>
      <c r="AN38" s="33"/>
      <c r="AO38" s="33">
        <v>70</v>
      </c>
      <c r="AP38" s="33">
        <v>6063.75</v>
      </c>
      <c r="AQ38" s="33">
        <v>424462.5</v>
      </c>
      <c r="AR38" s="33">
        <v>140</v>
      </c>
      <c r="AS38" s="33">
        <v>6063.75</v>
      </c>
      <c r="AT38" s="33">
        <v>848925</v>
      </c>
      <c r="AU38" s="33">
        <v>140</v>
      </c>
      <c r="AV38" s="33">
        <v>6063.75</v>
      </c>
      <c r="AW38" s="33">
        <v>848925</v>
      </c>
      <c r="AX38" s="33">
        <v>280</v>
      </c>
      <c r="AY38" s="33">
        <v>6063.75</v>
      </c>
      <c r="AZ38" s="33">
        <v>1697850</v>
      </c>
      <c r="BA38" s="33"/>
      <c r="BB38" s="33">
        <v>0</v>
      </c>
      <c r="BC38" s="33">
        <v>0</v>
      </c>
      <c r="BD38" s="33"/>
      <c r="BE38" s="33"/>
      <c r="BF38" s="33">
        <v>0</v>
      </c>
      <c r="BG38" s="33"/>
      <c r="BH38" s="33"/>
      <c r="BI38" s="33">
        <v>0</v>
      </c>
      <c r="BJ38" s="33"/>
      <c r="BK38" s="33">
        <v>0</v>
      </c>
      <c r="BL38" s="33">
        <f t="shared" si="49"/>
        <v>0</v>
      </c>
      <c r="BM38" s="33"/>
      <c r="BN38" s="33">
        <v>0</v>
      </c>
      <c r="BO38" s="33">
        <v>0</v>
      </c>
      <c r="BP38" s="33"/>
      <c r="BQ38" s="33"/>
      <c r="BR38" s="33"/>
      <c r="BT38" s="65">
        <f t="shared" si="54"/>
        <v>1414</v>
      </c>
      <c r="BU38" s="33">
        <f t="shared" si="20"/>
        <v>6063.6455701888217</v>
      </c>
      <c r="BV38" s="65">
        <f t="shared" si="22"/>
        <v>8573994.8362469934</v>
      </c>
      <c r="BW38" s="33">
        <v>388</v>
      </c>
      <c r="BX38" s="33">
        <v>6063.5616533762659</v>
      </c>
      <c r="BY38" s="33">
        <v>2352661.9215099914</v>
      </c>
      <c r="BZ38" s="33">
        <v>323</v>
      </c>
      <c r="CA38" s="33">
        <v>6063.561653376265</v>
      </c>
      <c r="CB38" s="33">
        <v>1958530.4140405336</v>
      </c>
      <c r="CC38" s="33">
        <v>64</v>
      </c>
      <c r="CD38" s="33">
        <v>6063.6538510242472</v>
      </c>
      <c r="CE38" s="33">
        <v>388073.84646555182</v>
      </c>
      <c r="CF38" s="33">
        <v>121</v>
      </c>
      <c r="CG38" s="33">
        <v>6063.7153161229016</v>
      </c>
      <c r="CH38" s="33">
        <v>733709.55325087113</v>
      </c>
      <c r="CI38" s="33">
        <v>163</v>
      </c>
      <c r="CJ38" s="33">
        <v>6063.7357184035473</v>
      </c>
      <c r="CK38" s="33">
        <v>988388.9220997782</v>
      </c>
      <c r="CL38" s="33">
        <v>157</v>
      </c>
      <c r="CM38" s="33">
        <v>6063.7469827613122</v>
      </c>
      <c r="CN38" s="33">
        <v>952008.27629352605</v>
      </c>
      <c r="CO38" s="33">
        <v>110</v>
      </c>
      <c r="CP38" s="33">
        <v>6063.7469827613122</v>
      </c>
      <c r="CQ38" s="33">
        <v>667012.16810374439</v>
      </c>
      <c r="CR38" s="33">
        <v>88</v>
      </c>
      <c r="CS38" s="33">
        <v>6063.7469827613122</v>
      </c>
      <c r="CT38" s="33">
        <v>533609.73448299547</v>
      </c>
      <c r="CU38" s="33"/>
      <c r="CV38" s="33">
        <v>0</v>
      </c>
      <c r="CW38" s="33">
        <v>0</v>
      </c>
      <c r="CX38" s="33"/>
      <c r="CY38" s="33">
        <v>0</v>
      </c>
      <c r="CZ38" s="33">
        <v>0</v>
      </c>
      <c r="DA38" s="33"/>
      <c r="DB38" s="33">
        <v>0</v>
      </c>
      <c r="DC38" s="33">
        <v>0</v>
      </c>
      <c r="DD38" s="33"/>
      <c r="DE38" s="33"/>
      <c r="DF38" s="66"/>
    </row>
    <row r="39" spans="1:110" ht="24.95" customHeight="1">
      <c r="A39" s="58">
        <v>28</v>
      </c>
      <c r="B39" s="84" t="s">
        <v>163</v>
      </c>
      <c r="C39" s="60" t="s">
        <v>158</v>
      </c>
      <c r="D39" s="61" t="s">
        <v>164</v>
      </c>
      <c r="E39" s="62" t="s">
        <v>165</v>
      </c>
      <c r="F39" s="60" t="s">
        <v>53</v>
      </c>
      <c r="G39" s="64">
        <v>406</v>
      </c>
      <c r="H39" s="76">
        <v>622.64999962142235</v>
      </c>
      <c r="I39" s="76">
        <v>252795.89984629749</v>
      </c>
      <c r="J39" s="33">
        <v>500</v>
      </c>
      <c r="K39" s="33">
        <v>622.65</v>
      </c>
      <c r="L39" s="33">
        <f t="shared" si="46"/>
        <v>311325</v>
      </c>
      <c r="M39" s="34">
        <v>762</v>
      </c>
      <c r="N39" s="33">
        <f t="shared" si="47"/>
        <v>622.64999983035034</v>
      </c>
      <c r="O39" s="33">
        <f>M39*N39</f>
        <v>474459.29987072694</v>
      </c>
      <c r="P39" s="137">
        <f t="shared" si="13"/>
        <v>144</v>
      </c>
      <c r="Q39" s="34">
        <f t="shared" si="14"/>
        <v>622.64999983035034</v>
      </c>
      <c r="R39" s="33">
        <f t="shared" si="51"/>
        <v>89661.599975570454</v>
      </c>
      <c r="S39" s="36">
        <v>46801</v>
      </c>
      <c r="T39" s="34">
        <v>7400</v>
      </c>
      <c r="U39" s="34">
        <v>622.65</v>
      </c>
      <c r="V39" s="34">
        <v>4607610</v>
      </c>
      <c r="W39" s="34">
        <v>7778</v>
      </c>
      <c r="X39" s="34">
        <v>622.64947563005489</v>
      </c>
      <c r="Y39" s="34">
        <v>4842967.6214505667</v>
      </c>
      <c r="Z39" s="34">
        <v>200</v>
      </c>
      <c r="AA39" s="33">
        <v>622.64999927537326</v>
      </c>
      <c r="AB39" s="34">
        <f t="shared" si="48"/>
        <v>124529.99985507465</v>
      </c>
      <c r="AC39" s="33">
        <v>522</v>
      </c>
      <c r="AD39" s="33">
        <v>622.64218664010968</v>
      </c>
      <c r="AE39" s="33">
        <v>325019.22142613726</v>
      </c>
      <c r="AF39" s="65">
        <f t="shared" si="21"/>
        <v>7400</v>
      </c>
      <c r="AG39" s="33">
        <f t="shared" si="18"/>
        <v>622.65</v>
      </c>
      <c r="AH39" s="65">
        <f t="shared" si="52"/>
        <v>4607610</v>
      </c>
      <c r="AI39" s="33">
        <v>900</v>
      </c>
      <c r="AJ39" s="33">
        <v>622.65</v>
      </c>
      <c r="AK39" s="33">
        <v>560385</v>
      </c>
      <c r="AL39" s="33"/>
      <c r="AM39" s="33"/>
      <c r="AN39" s="33"/>
      <c r="AO39" s="33">
        <v>900</v>
      </c>
      <c r="AP39" s="33">
        <v>622.65</v>
      </c>
      <c r="AQ39" s="33">
        <v>560385</v>
      </c>
      <c r="AR39" s="33">
        <v>700</v>
      </c>
      <c r="AS39" s="33">
        <v>622.65</v>
      </c>
      <c r="AT39" s="33">
        <v>435855</v>
      </c>
      <c r="AU39" s="33">
        <v>700</v>
      </c>
      <c r="AV39" s="33">
        <v>622.65</v>
      </c>
      <c r="AW39" s="33">
        <v>435855</v>
      </c>
      <c r="AX39" s="33">
        <v>800</v>
      </c>
      <c r="AY39" s="33">
        <v>622.65</v>
      </c>
      <c r="AZ39" s="33">
        <v>498120</v>
      </c>
      <c r="BA39" s="33">
        <v>800</v>
      </c>
      <c r="BB39" s="33">
        <v>622.65</v>
      </c>
      <c r="BC39" s="33">
        <v>498120</v>
      </c>
      <c r="BD39" s="33">
        <v>800</v>
      </c>
      <c r="BE39" s="33">
        <v>622.65</v>
      </c>
      <c r="BF39" s="33">
        <v>498120</v>
      </c>
      <c r="BG39" s="33">
        <v>800</v>
      </c>
      <c r="BH39" s="33">
        <v>622.65</v>
      </c>
      <c r="BI39" s="33">
        <v>498120</v>
      </c>
      <c r="BJ39" s="33">
        <v>500</v>
      </c>
      <c r="BK39" s="33">
        <v>622.65</v>
      </c>
      <c r="BL39" s="33">
        <f t="shared" si="49"/>
        <v>311325</v>
      </c>
      <c r="BM39" s="33">
        <v>500</v>
      </c>
      <c r="BN39" s="33">
        <v>622.65</v>
      </c>
      <c r="BO39" s="33">
        <v>311325</v>
      </c>
      <c r="BP39" s="33"/>
      <c r="BQ39" s="33"/>
      <c r="BR39" s="33"/>
      <c r="BT39" s="65">
        <f t="shared" si="54"/>
        <v>7778</v>
      </c>
      <c r="BU39" s="33">
        <f t="shared" si="20"/>
        <v>622.64947563005489</v>
      </c>
      <c r="BV39" s="65">
        <f t="shared" si="22"/>
        <v>4842967.6214505667</v>
      </c>
      <c r="BW39" s="33">
        <v>681</v>
      </c>
      <c r="BX39" s="33">
        <v>622.64713180459728</v>
      </c>
      <c r="BY39" s="33">
        <v>424022.69675893075</v>
      </c>
      <c r="BZ39" s="33">
        <v>633</v>
      </c>
      <c r="CA39" s="33">
        <v>622.64713180459728</v>
      </c>
      <c r="CB39" s="33">
        <v>394135.63443231006</v>
      </c>
      <c r="CC39" s="33">
        <v>564</v>
      </c>
      <c r="CD39" s="33">
        <v>622.64969269334961</v>
      </c>
      <c r="CE39" s="33">
        <v>351174.42667904915</v>
      </c>
      <c r="CF39" s="33">
        <v>672</v>
      </c>
      <c r="CG39" s="33">
        <v>622.6498807306358</v>
      </c>
      <c r="CH39" s="33">
        <v>418420.71985098725</v>
      </c>
      <c r="CI39" s="33">
        <v>805</v>
      </c>
      <c r="CJ39" s="33">
        <v>622.64995196660414</v>
      </c>
      <c r="CK39" s="33">
        <v>501233.21133311634</v>
      </c>
      <c r="CL39" s="33">
        <v>788</v>
      </c>
      <c r="CM39" s="33">
        <v>622.64998489438187</v>
      </c>
      <c r="CN39" s="33">
        <v>490648.18809677294</v>
      </c>
      <c r="CO39" s="33">
        <v>711</v>
      </c>
      <c r="CP39" s="33">
        <v>622.64999514416513</v>
      </c>
      <c r="CQ39" s="33">
        <v>442704.14654750138</v>
      </c>
      <c r="CR39" s="33">
        <v>725</v>
      </c>
      <c r="CS39" s="33">
        <v>622.64999820778337</v>
      </c>
      <c r="CT39" s="33">
        <v>451421.24870064296</v>
      </c>
      <c r="CU39" s="33">
        <v>796</v>
      </c>
      <c r="CV39" s="33">
        <v>622.64999927537326</v>
      </c>
      <c r="CW39" s="33">
        <v>495629.39942319714</v>
      </c>
      <c r="CX39" s="33">
        <v>641</v>
      </c>
      <c r="CY39" s="33">
        <v>622.64999962142235</v>
      </c>
      <c r="CZ39" s="33">
        <v>399118.6497573317</v>
      </c>
      <c r="DA39" s="33">
        <v>762</v>
      </c>
      <c r="DB39" s="33">
        <v>622.64999983035034</v>
      </c>
      <c r="DC39" s="33">
        <v>474459.29987072694</v>
      </c>
      <c r="DD39" s="33"/>
      <c r="DE39" s="33"/>
      <c r="DF39" s="66"/>
    </row>
    <row r="40" spans="1:110" s="25" customFormat="1" ht="24.95" customHeight="1">
      <c r="A40" s="46" t="s">
        <v>20</v>
      </c>
      <c r="B40" s="47"/>
      <c r="C40" s="78"/>
      <c r="D40" s="79"/>
      <c r="E40" s="80"/>
      <c r="F40" s="51"/>
      <c r="G40" s="81">
        <f>SUM(G41)</f>
        <v>36</v>
      </c>
      <c r="H40" s="53"/>
      <c r="I40" s="81">
        <f>SUM(I41)</f>
        <v>90000.288</v>
      </c>
      <c r="J40" s="81">
        <f>SUM(J41)</f>
        <v>0</v>
      </c>
      <c r="K40" s="53"/>
      <c r="L40" s="81">
        <f>SUM(L41)</f>
        <v>0</v>
      </c>
      <c r="M40" s="81">
        <f>SUM(M41)</f>
        <v>11</v>
      </c>
      <c r="N40" s="53"/>
      <c r="O40" s="81">
        <f>SUM(O41)</f>
        <v>27500.087999999996</v>
      </c>
      <c r="P40" s="81">
        <f>SUM(P41)</f>
        <v>25</v>
      </c>
      <c r="Q40" s="54"/>
      <c r="R40" s="81">
        <f>SUM(R41)</f>
        <v>62500.2</v>
      </c>
      <c r="S40" s="56"/>
      <c r="T40" s="55">
        <v>250</v>
      </c>
      <c r="U40" s="55">
        <v>2500.0038000000004</v>
      </c>
      <c r="V40" s="55">
        <v>625000.95000000007</v>
      </c>
      <c r="W40" s="55">
        <v>279</v>
      </c>
      <c r="X40" s="55">
        <v>2487.4840060694537</v>
      </c>
      <c r="Y40" s="55">
        <v>694008.03769337758</v>
      </c>
      <c r="Z40" s="81">
        <f>SUM(Z41)</f>
        <v>0</v>
      </c>
      <c r="AA40" s="53"/>
      <c r="AB40" s="81">
        <f>SUM(AB41)</f>
        <v>0</v>
      </c>
      <c r="AC40" s="81">
        <f>SUM(AC41)</f>
        <v>54</v>
      </c>
      <c r="AD40" s="54"/>
      <c r="AE40" s="81">
        <f>SUM(AE41)</f>
        <v>131507.28769337767</v>
      </c>
      <c r="AF40" s="81">
        <f>SUM(AF41)</f>
        <v>250</v>
      </c>
      <c r="AG40" s="52">
        <f>IFERROR(AH40/AF40,0)</f>
        <v>2500.0038000000004</v>
      </c>
      <c r="AH40" s="81">
        <f>SUM(AH41)</f>
        <v>625000.95000000007</v>
      </c>
      <c r="AI40" s="53"/>
      <c r="AJ40" s="53"/>
      <c r="AK40" s="81">
        <f>SUM(AK41)</f>
        <v>0</v>
      </c>
      <c r="AL40" s="81"/>
      <c r="AM40" s="81"/>
      <c r="AN40" s="81">
        <f t="shared" ref="AN40:BR40" si="55">SUM(AN41)</f>
        <v>0</v>
      </c>
      <c r="AO40" s="81"/>
      <c r="AP40" s="81"/>
      <c r="AQ40" s="81">
        <f t="shared" si="55"/>
        <v>249999.75</v>
      </c>
      <c r="AR40" s="81"/>
      <c r="AS40" s="81"/>
      <c r="AT40" s="81">
        <f t="shared" si="55"/>
        <v>0</v>
      </c>
      <c r="AU40" s="81"/>
      <c r="AV40" s="81"/>
      <c r="AW40" s="81">
        <f t="shared" si="55"/>
        <v>0</v>
      </c>
      <c r="AX40" s="81"/>
      <c r="AY40" s="81"/>
      <c r="AZ40" s="81">
        <f t="shared" si="55"/>
        <v>0</v>
      </c>
      <c r="BA40" s="81"/>
      <c r="BB40" s="81"/>
      <c r="BC40" s="81">
        <f t="shared" si="55"/>
        <v>0</v>
      </c>
      <c r="BD40" s="81"/>
      <c r="BE40" s="81"/>
      <c r="BF40" s="81">
        <f t="shared" si="55"/>
        <v>125000.4</v>
      </c>
      <c r="BG40" s="81">
        <v>50</v>
      </c>
      <c r="BH40" s="81"/>
      <c r="BI40" s="81">
        <v>125000.4</v>
      </c>
      <c r="BJ40" s="81"/>
      <c r="BK40" s="81"/>
      <c r="BL40" s="81">
        <f t="shared" si="55"/>
        <v>125000.4</v>
      </c>
      <c r="BM40" s="81"/>
      <c r="BN40" s="81"/>
      <c r="BO40" s="81">
        <f t="shared" si="55"/>
        <v>0</v>
      </c>
      <c r="BP40" s="81"/>
      <c r="BQ40" s="81"/>
      <c r="BR40" s="81">
        <f t="shared" si="55"/>
        <v>0</v>
      </c>
      <c r="BT40" s="81">
        <f>SUM(BT41)</f>
        <v>279</v>
      </c>
      <c r="BU40" s="52">
        <f>IFERROR(BV40/BT40,0)</f>
        <v>2487.4840060694537</v>
      </c>
      <c r="BV40" s="81">
        <f>SUM(BV41)</f>
        <v>694008.03769337758</v>
      </c>
      <c r="BW40" s="53"/>
      <c r="BX40" s="53"/>
      <c r="BY40" s="81">
        <f>SUM(BY41)</f>
        <v>90106.845271388403</v>
      </c>
      <c r="BZ40" s="53"/>
      <c r="CA40" s="53"/>
      <c r="CB40" s="81">
        <f>SUM(CB41)</f>
        <v>41400.442421989268</v>
      </c>
      <c r="CC40" s="53"/>
      <c r="CD40" s="53"/>
      <c r="CE40" s="81">
        <f t="shared" ref="CE40" si="56">SUM(CE41)</f>
        <v>107499.8925</v>
      </c>
      <c r="CF40" s="53"/>
      <c r="CG40" s="53"/>
      <c r="CH40" s="81">
        <f t="shared" ref="CH40" si="57">SUM(CH41)</f>
        <v>54999.944999999992</v>
      </c>
      <c r="CI40" s="53"/>
      <c r="CJ40" s="53"/>
      <c r="CK40" s="81">
        <f t="shared" ref="CK40" si="58">SUM(CK41)</f>
        <v>42499.95749999999</v>
      </c>
      <c r="CL40" s="53"/>
      <c r="CM40" s="53"/>
      <c r="CN40" s="81">
        <f t="shared" ref="CN40" si="59">SUM(CN41)</f>
        <v>27499.972499999996</v>
      </c>
      <c r="CO40" s="53"/>
      <c r="CP40" s="53"/>
      <c r="CQ40" s="81">
        <f t="shared" ref="CQ40" si="60">SUM(CQ41)</f>
        <v>17499.982499999998</v>
      </c>
      <c r="CR40" s="53"/>
      <c r="CS40" s="53"/>
      <c r="CT40" s="81">
        <f t="shared" ref="CT40" si="61">SUM(CT41)</f>
        <v>42500.135999999999</v>
      </c>
      <c r="CU40" s="53">
        <v>43</v>
      </c>
      <c r="CV40" s="53"/>
      <c r="CW40" s="81">
        <v>107500.344</v>
      </c>
      <c r="CX40" s="81">
        <f>SUM(CX41)</f>
        <v>54</v>
      </c>
      <c r="CY40" s="53"/>
      <c r="CZ40" s="81">
        <f t="shared" ref="CZ40" si="62">SUM(CZ41)</f>
        <v>135000.432</v>
      </c>
      <c r="DA40" s="53"/>
      <c r="DB40" s="53"/>
      <c r="DC40" s="81">
        <f t="shared" ref="DC40" si="63">SUM(DC41)</f>
        <v>27500.087999999996</v>
      </c>
      <c r="DD40" s="53"/>
      <c r="DE40" s="53"/>
      <c r="DF40" s="82">
        <f t="shared" ref="DF40" si="64">SUM(DF41)</f>
        <v>0</v>
      </c>
    </row>
    <row r="41" spans="1:110" ht="24.95" customHeight="1">
      <c r="A41" s="58">
        <v>29</v>
      </c>
      <c r="B41" s="84" t="s">
        <v>106</v>
      </c>
      <c r="C41" s="60" t="s">
        <v>50</v>
      </c>
      <c r="D41" s="75" t="s">
        <v>107</v>
      </c>
      <c r="E41" s="70" t="s">
        <v>108</v>
      </c>
      <c r="F41" s="60" t="s">
        <v>53</v>
      </c>
      <c r="G41" s="64">
        <v>36</v>
      </c>
      <c r="H41" s="76">
        <v>2500.0079999999998</v>
      </c>
      <c r="I41" s="76">
        <v>90000.288</v>
      </c>
      <c r="J41" s="33"/>
      <c r="K41" s="33"/>
      <c r="L41" s="33">
        <f>J41*K41</f>
        <v>0</v>
      </c>
      <c r="M41" s="34">
        <v>11</v>
      </c>
      <c r="N41" s="33">
        <f>IFERROR((G41*H41+J41*K41)/(G41+J41),0)</f>
        <v>2500.0079999999998</v>
      </c>
      <c r="O41" s="33">
        <f>M41*N41</f>
        <v>27500.087999999996</v>
      </c>
      <c r="P41" s="137">
        <f>G41+J41-M41</f>
        <v>25</v>
      </c>
      <c r="Q41" s="34">
        <f>N41</f>
        <v>2500.0079999999998</v>
      </c>
      <c r="R41" s="33">
        <f>P41*Q41</f>
        <v>62500.2</v>
      </c>
      <c r="S41" s="36">
        <v>47224</v>
      </c>
      <c r="T41" s="34">
        <v>250</v>
      </c>
      <c r="U41" s="34">
        <v>2500.0038000000004</v>
      </c>
      <c r="V41" s="34">
        <v>625000.95000000007</v>
      </c>
      <c r="W41" s="34">
        <v>279</v>
      </c>
      <c r="X41" s="34">
        <v>2487.4840060694537</v>
      </c>
      <c r="Y41" s="34">
        <v>694008.03769337758</v>
      </c>
      <c r="Z41" s="34"/>
      <c r="AA41" s="33">
        <v>2500.0079999999998</v>
      </c>
      <c r="AB41" s="34">
        <f t="shared" ref="AB41" si="65">Z41*AA41</f>
        <v>0</v>
      </c>
      <c r="AC41" s="33">
        <v>54</v>
      </c>
      <c r="AD41" s="33">
        <v>2435.3201424699569</v>
      </c>
      <c r="AE41" s="33">
        <v>131507.28769337767</v>
      </c>
      <c r="AF41" s="65">
        <f t="shared" si="21"/>
        <v>250</v>
      </c>
      <c r="AG41" s="33">
        <f t="shared" si="18"/>
        <v>2500.0038000000004</v>
      </c>
      <c r="AH41" s="65">
        <f>SUMIF($AI$6:$BR$6,$AH$6,AI41:BR41)</f>
        <v>625000.95000000007</v>
      </c>
      <c r="AI41" s="33"/>
      <c r="AJ41" s="33">
        <v>0</v>
      </c>
      <c r="AK41" s="33">
        <v>0</v>
      </c>
      <c r="AL41" s="33"/>
      <c r="AM41" s="33"/>
      <c r="AN41" s="33"/>
      <c r="AO41" s="33">
        <v>100</v>
      </c>
      <c r="AP41" s="33">
        <v>2499.9974999999999</v>
      </c>
      <c r="AQ41" s="33">
        <v>249999.75</v>
      </c>
      <c r="AR41" s="33"/>
      <c r="AS41" s="33">
        <v>0</v>
      </c>
      <c r="AT41" s="33">
        <v>0</v>
      </c>
      <c r="AU41" s="33"/>
      <c r="AV41" s="33">
        <v>0</v>
      </c>
      <c r="AW41" s="33">
        <v>0</v>
      </c>
      <c r="AX41" s="33"/>
      <c r="AY41" s="33">
        <v>0</v>
      </c>
      <c r="AZ41" s="33">
        <v>0</v>
      </c>
      <c r="BA41" s="33"/>
      <c r="BB41" s="33">
        <v>0</v>
      </c>
      <c r="BC41" s="33">
        <v>0</v>
      </c>
      <c r="BD41" s="33">
        <v>50</v>
      </c>
      <c r="BE41" s="33">
        <v>2500.0079999999998</v>
      </c>
      <c r="BF41" s="33">
        <v>125000.4</v>
      </c>
      <c r="BG41" s="33">
        <v>50</v>
      </c>
      <c r="BH41" s="33">
        <v>2500.0079999999998</v>
      </c>
      <c r="BI41" s="33">
        <v>125000.4</v>
      </c>
      <c r="BJ41" s="33">
        <v>50</v>
      </c>
      <c r="BK41" s="33">
        <v>2500.0079999999998</v>
      </c>
      <c r="BL41" s="33">
        <f>BJ41*BK41</f>
        <v>125000.4</v>
      </c>
      <c r="BM41" s="33"/>
      <c r="BN41" s="33"/>
      <c r="BO41" s="33">
        <f>BM41*BN41</f>
        <v>0</v>
      </c>
      <c r="BP41" s="33"/>
      <c r="BQ41" s="33"/>
      <c r="BR41" s="33"/>
      <c r="BT41" s="65">
        <f>SUMIF($BW$6:$DF$6,$BT$6,BW41:DF41)</f>
        <v>279</v>
      </c>
      <c r="BU41" s="33">
        <f t="shared" si="20"/>
        <v>2487.4840060694537</v>
      </c>
      <c r="BV41" s="65">
        <f t="shared" si="22"/>
        <v>694008.03769337758</v>
      </c>
      <c r="BW41" s="33">
        <v>37</v>
      </c>
      <c r="BX41" s="33">
        <v>2435.3201424699569</v>
      </c>
      <c r="BY41" s="33">
        <v>90106.845271388403</v>
      </c>
      <c r="BZ41" s="33">
        <v>17</v>
      </c>
      <c r="CA41" s="33">
        <v>2435.3201424699569</v>
      </c>
      <c r="CB41" s="33">
        <v>41400.442421989268</v>
      </c>
      <c r="CC41" s="33">
        <v>43</v>
      </c>
      <c r="CD41" s="33">
        <v>2499.9974999999999</v>
      </c>
      <c r="CE41" s="33">
        <v>107499.8925</v>
      </c>
      <c r="CF41" s="33">
        <v>22</v>
      </c>
      <c r="CG41" s="33">
        <v>2499.9974999999995</v>
      </c>
      <c r="CH41" s="33">
        <v>54999.944999999992</v>
      </c>
      <c r="CI41" s="33">
        <v>17</v>
      </c>
      <c r="CJ41" s="33">
        <v>2499.9974999999995</v>
      </c>
      <c r="CK41" s="33">
        <v>42499.95749999999</v>
      </c>
      <c r="CL41" s="33">
        <v>11</v>
      </c>
      <c r="CM41" s="33">
        <v>2499.9974999999995</v>
      </c>
      <c r="CN41" s="33">
        <v>27499.972499999996</v>
      </c>
      <c r="CO41" s="33">
        <v>7</v>
      </c>
      <c r="CP41" s="33">
        <v>2499.9974999999999</v>
      </c>
      <c r="CQ41" s="33">
        <v>17499.982499999998</v>
      </c>
      <c r="CR41" s="33">
        <v>17</v>
      </c>
      <c r="CS41" s="33">
        <v>2500.0079999999998</v>
      </c>
      <c r="CT41" s="33">
        <v>42500.135999999999</v>
      </c>
      <c r="CU41" s="33">
        <v>43</v>
      </c>
      <c r="CV41" s="33">
        <v>2500.0079999999998</v>
      </c>
      <c r="CW41" s="33">
        <v>107500.344</v>
      </c>
      <c r="CX41" s="33">
        <v>54</v>
      </c>
      <c r="CY41" s="33">
        <v>2500.0079999999998</v>
      </c>
      <c r="CZ41" s="33">
        <v>135000.432</v>
      </c>
      <c r="DA41" s="34">
        <v>11</v>
      </c>
      <c r="DB41" s="33">
        <v>2500.0079999999998</v>
      </c>
      <c r="DC41" s="33">
        <v>27500.087999999996</v>
      </c>
      <c r="DD41" s="33"/>
      <c r="DE41" s="33"/>
      <c r="DF41" s="66"/>
    </row>
    <row r="42" spans="1:110" s="25" customFormat="1" ht="24.95" customHeight="1">
      <c r="A42" s="46" t="s">
        <v>21</v>
      </c>
      <c r="B42" s="47"/>
      <c r="C42" s="78"/>
      <c r="D42" s="79"/>
      <c r="E42" s="80"/>
      <c r="F42" s="51"/>
      <c r="G42" s="81">
        <f>SUM(G43:G44)</f>
        <v>39</v>
      </c>
      <c r="H42" s="53"/>
      <c r="I42" s="81">
        <f>SUM(I43:I44)</f>
        <v>13104</v>
      </c>
      <c r="J42" s="81">
        <f>SUM(J43:J44)</f>
        <v>150</v>
      </c>
      <c r="K42" s="53"/>
      <c r="L42" s="81">
        <f>SUM(L43:L44)</f>
        <v>224070</v>
      </c>
      <c r="M42" s="81">
        <f>SUM(M43:M44)</f>
        <v>99</v>
      </c>
      <c r="N42" s="53"/>
      <c r="O42" s="81">
        <f>SUM(O43:O44)</f>
        <v>113152.2</v>
      </c>
      <c r="P42" s="81">
        <f>SUM(P43:P44)</f>
        <v>90</v>
      </c>
      <c r="Q42" s="54"/>
      <c r="R42" s="81">
        <f>SUM(R43:R44)</f>
        <v>124021.8</v>
      </c>
      <c r="S42" s="56"/>
      <c r="T42" s="55">
        <v>900</v>
      </c>
      <c r="U42" s="55">
        <v>2458.6333333333332</v>
      </c>
      <c r="V42" s="55">
        <v>2212770</v>
      </c>
      <c r="W42" s="55">
        <v>1012</v>
      </c>
      <c r="X42" s="55">
        <v>2817.4903162055339</v>
      </c>
      <c r="Y42" s="55">
        <v>2851300.2</v>
      </c>
      <c r="Z42" s="81">
        <f>SUM(Z43:Z44)</f>
        <v>150</v>
      </c>
      <c r="AA42" s="53"/>
      <c r="AB42" s="81">
        <f>SUM(AB43:AB44)</f>
        <v>224070.00000000003</v>
      </c>
      <c r="AC42" s="81">
        <f>SUM(AC43:AC44)</f>
        <v>202</v>
      </c>
      <c r="AD42" s="54"/>
      <c r="AE42" s="81">
        <f>SUM(AE43:AE44)</f>
        <v>762561</v>
      </c>
      <c r="AF42" s="81">
        <f>SUM(AF43:AF44)</f>
        <v>900</v>
      </c>
      <c r="AG42" s="52">
        <f>IFERROR(AH42/AF42,0)</f>
        <v>2458.6333333333332</v>
      </c>
      <c r="AH42" s="81">
        <f>SUM(AH43:AH44)</f>
        <v>2212770</v>
      </c>
      <c r="AI42" s="53"/>
      <c r="AJ42" s="53"/>
      <c r="AK42" s="81">
        <f>SUM(AK43:AK44)</f>
        <v>1176420</v>
      </c>
      <c r="AL42" s="81"/>
      <c r="AM42" s="81"/>
      <c r="AN42" s="81">
        <f t="shared" ref="AN42:BR42" si="66">SUM(AN43:AN44)</f>
        <v>0</v>
      </c>
      <c r="AO42" s="81"/>
      <c r="AP42" s="81"/>
      <c r="AQ42" s="81">
        <f t="shared" si="66"/>
        <v>33600</v>
      </c>
      <c r="AR42" s="81"/>
      <c r="AS42" s="81"/>
      <c r="AT42" s="81">
        <f t="shared" si="66"/>
        <v>0</v>
      </c>
      <c r="AU42" s="81"/>
      <c r="AV42" s="81"/>
      <c r="AW42" s="81">
        <f t="shared" si="66"/>
        <v>380940</v>
      </c>
      <c r="AX42" s="81"/>
      <c r="AY42" s="81"/>
      <c r="AZ42" s="81">
        <f t="shared" si="66"/>
        <v>0</v>
      </c>
      <c r="BA42" s="81"/>
      <c r="BB42" s="81"/>
      <c r="BC42" s="81">
        <f t="shared" si="66"/>
        <v>380940</v>
      </c>
      <c r="BD42" s="81"/>
      <c r="BE42" s="81"/>
      <c r="BF42" s="81">
        <f t="shared" si="66"/>
        <v>0</v>
      </c>
      <c r="BG42" s="81">
        <v>0</v>
      </c>
      <c r="BH42" s="81"/>
      <c r="BI42" s="81">
        <v>0</v>
      </c>
      <c r="BJ42" s="81"/>
      <c r="BK42" s="81"/>
      <c r="BL42" s="81">
        <f t="shared" si="66"/>
        <v>16800</v>
      </c>
      <c r="BM42" s="81"/>
      <c r="BN42" s="81"/>
      <c r="BO42" s="81">
        <f t="shared" si="66"/>
        <v>224070</v>
      </c>
      <c r="BP42" s="81"/>
      <c r="BQ42" s="81"/>
      <c r="BR42" s="81">
        <f t="shared" si="66"/>
        <v>0</v>
      </c>
      <c r="BT42" s="81">
        <f>SUM(BT43:BT44)</f>
        <v>1012</v>
      </c>
      <c r="BU42" s="52">
        <f>IFERROR(BV42/BT42,0)</f>
        <v>2817.4903162055339</v>
      </c>
      <c r="BV42" s="81">
        <f>SUM(BV43:BV44)</f>
        <v>2851300.2</v>
      </c>
      <c r="BW42" s="53"/>
      <c r="BX42" s="53"/>
      <c r="BY42" s="81">
        <f>SUM(BY43:BY44)</f>
        <v>878283</v>
      </c>
      <c r="BZ42" s="53"/>
      <c r="CA42" s="53"/>
      <c r="CB42" s="81">
        <f>SUM(CB43:CB44)</f>
        <v>727032.6</v>
      </c>
      <c r="CC42" s="53"/>
      <c r="CD42" s="53"/>
      <c r="CE42" s="81">
        <f t="shared" ref="CE42" si="67">SUM(CE43:CE44)</f>
        <v>84810.6</v>
      </c>
      <c r="CF42" s="53"/>
      <c r="CG42" s="53"/>
      <c r="CH42" s="81">
        <f t="shared" ref="CH42" si="68">SUM(CH43:CH44)</f>
        <v>151477.20000000001</v>
      </c>
      <c r="CI42" s="53"/>
      <c r="CJ42" s="53"/>
      <c r="CK42" s="81">
        <f t="shared" ref="CK42" si="69">SUM(CK43:CK44)</f>
        <v>249513.59999999998</v>
      </c>
      <c r="CL42" s="53"/>
      <c r="CM42" s="53"/>
      <c r="CN42" s="81">
        <f t="shared" ref="CN42" si="70">SUM(CN43:CN44)</f>
        <v>118649.99999999999</v>
      </c>
      <c r="CO42" s="53"/>
      <c r="CP42" s="53"/>
      <c r="CQ42" s="81">
        <f>SUM(CQ43:CQ44)</f>
        <v>214670.4</v>
      </c>
      <c r="CR42" s="53"/>
      <c r="CS42" s="53"/>
      <c r="CT42" s="81">
        <f t="shared" ref="CT42" si="71">SUM(CT43:CT44)</f>
        <v>215342.40000000002</v>
      </c>
      <c r="CU42" s="53">
        <v>34</v>
      </c>
      <c r="CV42" s="53"/>
      <c r="CW42" s="81">
        <v>91312.200000000012</v>
      </c>
      <c r="CX42" s="81">
        <f>SUM(CX43:CX44)</f>
        <v>21</v>
      </c>
      <c r="CY42" s="53"/>
      <c r="CZ42" s="81">
        <f t="shared" ref="CZ42" si="72">SUM(CZ43:CZ44)</f>
        <v>7056</v>
      </c>
      <c r="DA42" s="53"/>
      <c r="DB42" s="53"/>
      <c r="DC42" s="81">
        <f t="shared" ref="DC42" si="73">SUM(DC43:DC44)</f>
        <v>113152.2</v>
      </c>
      <c r="DD42" s="53"/>
      <c r="DE42" s="53"/>
      <c r="DF42" s="82">
        <f t="shared" ref="DF42" si="74">SUM(DF43:DF44)</f>
        <v>0</v>
      </c>
    </row>
    <row r="43" spans="1:110" ht="24.95" customHeight="1">
      <c r="A43" s="58">
        <v>30</v>
      </c>
      <c r="B43" s="84" t="s">
        <v>109</v>
      </c>
      <c r="C43" s="85" t="s">
        <v>50</v>
      </c>
      <c r="D43" s="75" t="s">
        <v>110</v>
      </c>
      <c r="E43" s="62" t="s">
        <v>95</v>
      </c>
      <c r="F43" s="60" t="s">
        <v>111</v>
      </c>
      <c r="G43" s="64">
        <v>0</v>
      </c>
      <c r="H43" s="76">
        <v>0</v>
      </c>
      <c r="I43" s="76">
        <v>0</v>
      </c>
      <c r="J43" s="33">
        <v>50</v>
      </c>
      <c r="K43" s="33">
        <v>3809.4</v>
      </c>
      <c r="L43" s="33">
        <f>J43*K43</f>
        <v>190470</v>
      </c>
      <c r="M43" s="34">
        <v>23</v>
      </c>
      <c r="N43" s="33">
        <f>IFERROR((G43*H43+J43*K43)/(G43+J43),0)</f>
        <v>3809.4</v>
      </c>
      <c r="O43" s="33">
        <f>M43*N43</f>
        <v>87616.2</v>
      </c>
      <c r="P43" s="137">
        <f t="shared" ref="P43:P44" si="75">G43+J43-M43</f>
        <v>27</v>
      </c>
      <c r="Q43" s="34">
        <f>N43</f>
        <v>3809.4</v>
      </c>
      <c r="R43" s="33">
        <f>P43*Q43</f>
        <v>102853.8</v>
      </c>
      <c r="S43" s="36">
        <v>46363</v>
      </c>
      <c r="T43" s="34">
        <v>550</v>
      </c>
      <c r="U43" s="34">
        <v>3809.4</v>
      </c>
      <c r="V43" s="34">
        <v>2095170</v>
      </c>
      <c r="W43" s="34">
        <v>723</v>
      </c>
      <c r="X43" s="34">
        <v>3809.4</v>
      </c>
      <c r="Y43" s="34">
        <v>2754196.2</v>
      </c>
      <c r="Z43" s="34">
        <v>50</v>
      </c>
      <c r="AA43" s="33">
        <v>3809.4000000000005</v>
      </c>
      <c r="AB43" s="34">
        <f t="shared" ref="AB43:AB44" si="76">Z43*AA43</f>
        <v>190470.00000000003</v>
      </c>
      <c r="AC43" s="33">
        <v>200</v>
      </c>
      <c r="AD43" s="33">
        <v>3809.4</v>
      </c>
      <c r="AE43" s="33">
        <v>761889</v>
      </c>
      <c r="AF43" s="65">
        <f t="shared" si="21"/>
        <v>550</v>
      </c>
      <c r="AG43" s="33">
        <f t="shared" si="18"/>
        <v>3809.4</v>
      </c>
      <c r="AH43" s="65">
        <f>SUMIF($AI$6:$BR$6,$AH$6,AI43:BR43)</f>
        <v>2095170</v>
      </c>
      <c r="AI43" s="33">
        <v>300</v>
      </c>
      <c r="AJ43" s="33">
        <v>3809.4</v>
      </c>
      <c r="AK43" s="33">
        <v>1142820</v>
      </c>
      <c r="AL43" s="33"/>
      <c r="AM43" s="33"/>
      <c r="AN43" s="33"/>
      <c r="AO43" s="33"/>
      <c r="AP43" s="33"/>
      <c r="AQ43" s="33"/>
      <c r="AR43" s="33"/>
      <c r="AS43" s="33">
        <v>0</v>
      </c>
      <c r="AT43" s="33">
        <v>0</v>
      </c>
      <c r="AU43" s="33">
        <v>100</v>
      </c>
      <c r="AV43" s="33">
        <v>3809.4</v>
      </c>
      <c r="AW43" s="33">
        <v>380940</v>
      </c>
      <c r="AX43" s="33"/>
      <c r="AY43" s="33">
        <v>0</v>
      </c>
      <c r="AZ43" s="33">
        <v>0</v>
      </c>
      <c r="BA43" s="33">
        <v>100</v>
      </c>
      <c r="BB43" s="33">
        <v>3809.4</v>
      </c>
      <c r="BC43" s="33">
        <v>380940</v>
      </c>
      <c r="BD43" s="33"/>
      <c r="BE43" s="33"/>
      <c r="BF43" s="33">
        <v>0</v>
      </c>
      <c r="BG43" s="33"/>
      <c r="BH43" s="33"/>
      <c r="BI43" s="33">
        <v>0</v>
      </c>
      <c r="BJ43" s="33"/>
      <c r="BK43" s="33">
        <v>0</v>
      </c>
      <c r="BL43" s="33">
        <v>0</v>
      </c>
      <c r="BM43" s="33">
        <v>50</v>
      </c>
      <c r="BN43" s="33">
        <v>3809.4</v>
      </c>
      <c r="BO43" s="33">
        <f>BM43*BN43</f>
        <v>190470</v>
      </c>
      <c r="BP43" s="33"/>
      <c r="BQ43" s="33"/>
      <c r="BR43" s="33"/>
      <c r="BT43" s="65">
        <f>SUMIF($BW$6:$DF$6,$BT$6,BW43:DF43)</f>
        <v>723</v>
      </c>
      <c r="BU43" s="33">
        <f t="shared" si="20"/>
        <v>3809.4</v>
      </c>
      <c r="BV43" s="65">
        <f t="shared" si="22"/>
        <v>2754196.2</v>
      </c>
      <c r="BW43" s="33">
        <v>225</v>
      </c>
      <c r="BX43" s="33">
        <v>3809.4</v>
      </c>
      <c r="BY43" s="33">
        <v>857115</v>
      </c>
      <c r="BZ43" s="33">
        <v>189</v>
      </c>
      <c r="CA43" s="33">
        <v>3809.4</v>
      </c>
      <c r="CB43" s="33">
        <v>719976.6</v>
      </c>
      <c r="CC43" s="33">
        <v>19</v>
      </c>
      <c r="CD43" s="33">
        <v>3809.4</v>
      </c>
      <c r="CE43" s="33">
        <v>72378.600000000006</v>
      </c>
      <c r="CF43" s="33">
        <v>38</v>
      </c>
      <c r="CG43" s="33">
        <v>3809.4</v>
      </c>
      <c r="CH43" s="33">
        <v>144757.20000000001</v>
      </c>
      <c r="CI43" s="33">
        <v>64</v>
      </c>
      <c r="CJ43" s="33">
        <v>3809.3999999999996</v>
      </c>
      <c r="CK43" s="33">
        <v>243801.59999999998</v>
      </c>
      <c r="CL43" s="33">
        <v>30</v>
      </c>
      <c r="CM43" s="33">
        <v>3809.3999999999996</v>
      </c>
      <c r="CN43" s="33">
        <v>114281.99999999999</v>
      </c>
      <c r="CO43" s="33">
        <v>56</v>
      </c>
      <c r="CP43" s="33">
        <v>3809.4</v>
      </c>
      <c r="CQ43" s="33">
        <v>213326.4</v>
      </c>
      <c r="CR43" s="33">
        <v>56</v>
      </c>
      <c r="CS43" s="33">
        <v>3809.4000000000005</v>
      </c>
      <c r="CT43" s="33">
        <v>213326.40000000002</v>
      </c>
      <c r="CU43" s="33">
        <v>23</v>
      </c>
      <c r="CV43" s="33">
        <v>3809.4000000000005</v>
      </c>
      <c r="CW43" s="33">
        <v>87616.200000000012</v>
      </c>
      <c r="CX43" s="34"/>
      <c r="CY43" s="35">
        <f>IFERROR((CR43*CS43+CU43*CV43)/(CR43+CU43),0)</f>
        <v>3809.4000000000005</v>
      </c>
      <c r="CZ43" s="33">
        <f>CX43*CY43</f>
        <v>0</v>
      </c>
      <c r="DA43" s="34">
        <v>23</v>
      </c>
      <c r="DB43" s="33">
        <v>3809.4</v>
      </c>
      <c r="DC43" s="33">
        <v>87616.2</v>
      </c>
      <c r="DD43" s="33"/>
      <c r="DE43" s="33"/>
      <c r="DF43" s="66"/>
    </row>
    <row r="44" spans="1:110" ht="24.95" customHeight="1">
      <c r="A44" s="58">
        <v>31</v>
      </c>
      <c r="B44" s="84" t="s">
        <v>310</v>
      </c>
      <c r="C44" s="85" t="s">
        <v>50</v>
      </c>
      <c r="D44" s="75" t="s">
        <v>112</v>
      </c>
      <c r="E44" s="70" t="s">
        <v>52</v>
      </c>
      <c r="F44" s="60" t="s">
        <v>111</v>
      </c>
      <c r="G44" s="64">
        <v>39</v>
      </c>
      <c r="H44" s="76">
        <v>336</v>
      </c>
      <c r="I44" s="76">
        <v>13104</v>
      </c>
      <c r="J44" s="33">
        <v>100</v>
      </c>
      <c r="K44" s="33">
        <v>336</v>
      </c>
      <c r="L44" s="33">
        <f>J44*K44</f>
        <v>33600</v>
      </c>
      <c r="M44" s="34">
        <v>76</v>
      </c>
      <c r="N44" s="33">
        <f>IFERROR((G44*H44+J44*K44)/(G44+J44),0)</f>
        <v>336</v>
      </c>
      <c r="O44" s="33">
        <f>M44*N44</f>
        <v>25536</v>
      </c>
      <c r="P44" s="137">
        <f t="shared" si="75"/>
        <v>63</v>
      </c>
      <c r="Q44" s="34">
        <f>N44</f>
        <v>336</v>
      </c>
      <c r="R44" s="33">
        <f>P44*Q44</f>
        <v>21168</v>
      </c>
      <c r="S44" s="36">
        <v>46977</v>
      </c>
      <c r="T44" s="34">
        <v>350</v>
      </c>
      <c r="U44" s="34">
        <v>336</v>
      </c>
      <c r="V44" s="34">
        <v>117600</v>
      </c>
      <c r="W44" s="34">
        <v>289</v>
      </c>
      <c r="X44" s="34">
        <v>336</v>
      </c>
      <c r="Y44" s="34">
        <v>97104</v>
      </c>
      <c r="Z44" s="34">
        <v>100</v>
      </c>
      <c r="AA44" s="33">
        <v>336</v>
      </c>
      <c r="AB44" s="34">
        <f t="shared" si="76"/>
        <v>33600</v>
      </c>
      <c r="AC44" s="33">
        <v>2</v>
      </c>
      <c r="AD44" s="33">
        <v>336</v>
      </c>
      <c r="AE44" s="33">
        <v>672</v>
      </c>
      <c r="AF44" s="65">
        <f t="shared" si="21"/>
        <v>350</v>
      </c>
      <c r="AG44" s="33">
        <f t="shared" si="18"/>
        <v>336</v>
      </c>
      <c r="AH44" s="65">
        <f t="shared" si="52"/>
        <v>117600</v>
      </c>
      <c r="AI44" s="33">
        <v>100</v>
      </c>
      <c r="AJ44" s="33">
        <v>336</v>
      </c>
      <c r="AK44" s="33">
        <v>33600</v>
      </c>
      <c r="AL44" s="33"/>
      <c r="AM44" s="33"/>
      <c r="AN44" s="33"/>
      <c r="AO44" s="33">
        <v>100</v>
      </c>
      <c r="AP44" s="33">
        <v>336</v>
      </c>
      <c r="AQ44" s="33">
        <v>33600</v>
      </c>
      <c r="AR44" s="33"/>
      <c r="AS44" s="33">
        <v>0</v>
      </c>
      <c r="AT44" s="33">
        <v>0</v>
      </c>
      <c r="AU44" s="33"/>
      <c r="AV44" s="33">
        <v>0</v>
      </c>
      <c r="AW44" s="33">
        <v>0</v>
      </c>
      <c r="AX44" s="33"/>
      <c r="AY44" s="33">
        <v>0</v>
      </c>
      <c r="AZ44" s="33">
        <v>0</v>
      </c>
      <c r="BA44" s="33"/>
      <c r="BB44" s="33">
        <v>0</v>
      </c>
      <c r="BC44" s="33">
        <v>0</v>
      </c>
      <c r="BD44" s="33"/>
      <c r="BE44" s="33"/>
      <c r="BF44" s="33">
        <v>0</v>
      </c>
      <c r="BG44" s="33"/>
      <c r="BH44" s="33"/>
      <c r="BI44" s="33">
        <v>0</v>
      </c>
      <c r="BJ44" s="33">
        <v>50</v>
      </c>
      <c r="BK44" s="33">
        <v>336</v>
      </c>
      <c r="BL44" s="33">
        <v>16800</v>
      </c>
      <c r="BM44" s="33">
        <v>100</v>
      </c>
      <c r="BN44" s="33">
        <v>336</v>
      </c>
      <c r="BO44" s="33">
        <f>BM44*BN44</f>
        <v>33600</v>
      </c>
      <c r="BP44" s="33"/>
      <c r="BQ44" s="33"/>
      <c r="BR44" s="33"/>
      <c r="BT44" s="65">
        <f>SUMIF($BW$6:$DF$6,$BT$6,BW44:DF44)</f>
        <v>289</v>
      </c>
      <c r="BU44" s="33">
        <f t="shared" si="20"/>
        <v>336</v>
      </c>
      <c r="BV44" s="65">
        <f t="shared" si="22"/>
        <v>97104</v>
      </c>
      <c r="BW44" s="33">
        <v>63</v>
      </c>
      <c r="BX44" s="33">
        <v>336</v>
      </c>
      <c r="BY44" s="33">
        <v>21168</v>
      </c>
      <c r="BZ44" s="33">
        <v>21</v>
      </c>
      <c r="CA44" s="33">
        <v>336</v>
      </c>
      <c r="CB44" s="33">
        <v>7056</v>
      </c>
      <c r="CC44" s="33">
        <v>37</v>
      </c>
      <c r="CD44" s="33">
        <v>336</v>
      </c>
      <c r="CE44" s="33">
        <v>12432</v>
      </c>
      <c r="CF44" s="33">
        <v>20</v>
      </c>
      <c r="CG44" s="33">
        <v>336</v>
      </c>
      <c r="CH44" s="33">
        <v>6720</v>
      </c>
      <c r="CI44" s="33">
        <v>17</v>
      </c>
      <c r="CJ44" s="33">
        <v>336</v>
      </c>
      <c r="CK44" s="33">
        <v>5712</v>
      </c>
      <c r="CL44" s="33">
        <v>13</v>
      </c>
      <c r="CM44" s="33">
        <v>336</v>
      </c>
      <c r="CN44" s="33">
        <v>4368</v>
      </c>
      <c r="CO44" s="33">
        <v>4</v>
      </c>
      <c r="CP44" s="33">
        <v>336</v>
      </c>
      <c r="CQ44" s="33">
        <v>1344</v>
      </c>
      <c r="CR44" s="33">
        <v>6</v>
      </c>
      <c r="CS44" s="33">
        <v>336</v>
      </c>
      <c r="CT44" s="33">
        <v>2016</v>
      </c>
      <c r="CU44" s="33">
        <v>11</v>
      </c>
      <c r="CV44" s="33">
        <v>336</v>
      </c>
      <c r="CW44" s="33">
        <v>3696</v>
      </c>
      <c r="CX44" s="34">
        <v>21</v>
      </c>
      <c r="CY44" s="35">
        <f>IFERROR((CR44*CS44+CU44*CV44)/(CR44+CU44),0)</f>
        <v>336</v>
      </c>
      <c r="CZ44" s="33">
        <f>CX44*CY44</f>
        <v>7056</v>
      </c>
      <c r="DA44" s="34">
        <v>76</v>
      </c>
      <c r="DB44" s="33">
        <v>336</v>
      </c>
      <c r="DC44" s="33">
        <v>25536</v>
      </c>
      <c r="DD44" s="33"/>
      <c r="DE44" s="33"/>
      <c r="DF44" s="66"/>
    </row>
    <row r="45" spans="1:110" s="25" customFormat="1" ht="24.95" customHeight="1">
      <c r="A45" s="46" t="s">
        <v>22</v>
      </c>
      <c r="B45" s="47"/>
      <c r="C45" s="78"/>
      <c r="D45" s="79"/>
      <c r="E45" s="80"/>
      <c r="F45" s="51"/>
      <c r="G45" s="81">
        <f>SUM(G46:G47)</f>
        <v>52</v>
      </c>
      <c r="H45" s="53"/>
      <c r="I45" s="81">
        <f>SUM(I46:I47)</f>
        <v>27008.019535568139</v>
      </c>
      <c r="J45" s="81">
        <f>SUM(J46:J47)</f>
        <v>50</v>
      </c>
      <c r="K45" s="53"/>
      <c r="L45" s="81">
        <f>SUM(L46:L47)</f>
        <v>34177.5</v>
      </c>
      <c r="M45" s="81">
        <f>SUM(M46:M47)</f>
        <v>52</v>
      </c>
      <c r="N45" s="53"/>
      <c r="O45" s="81">
        <f>SUM(O46:O47)</f>
        <v>34406.346357045419</v>
      </c>
      <c r="P45" s="81">
        <f>SUM(P46:P47)</f>
        <v>50</v>
      </c>
      <c r="Q45" s="54"/>
      <c r="R45" s="81">
        <f>SUM(R46:R47)</f>
        <v>26779.173178522709</v>
      </c>
      <c r="S45" s="56"/>
      <c r="T45" s="55">
        <v>740</v>
      </c>
      <c r="U45" s="55">
        <v>664.3236486486486</v>
      </c>
      <c r="V45" s="55">
        <v>491599.5</v>
      </c>
      <c r="W45" s="55">
        <v>869</v>
      </c>
      <c r="X45" s="55">
        <v>660.87862268986555</v>
      </c>
      <c r="Y45" s="55">
        <v>574303.52311749314</v>
      </c>
      <c r="Z45" s="81">
        <f>SUM(Z46:Z47)</f>
        <v>60</v>
      </c>
      <c r="AA45" s="53"/>
      <c r="AB45" s="81">
        <f>SUM(AB46:AB47)</f>
        <v>41012.75965169703</v>
      </c>
      <c r="AC45" s="81">
        <f>SUM(AC46:AC47)</f>
        <v>179</v>
      </c>
      <c r="AD45" s="54"/>
      <c r="AE45" s="81">
        <f>SUM(AE46:AE47)</f>
        <v>109483.22869078712</v>
      </c>
      <c r="AF45" s="81">
        <f>SUM(AF46:AF47)</f>
        <v>740</v>
      </c>
      <c r="AG45" s="52">
        <f>IFERROR(AH45/AF45,0)</f>
        <v>664.3236486486486</v>
      </c>
      <c r="AH45" s="81">
        <f>SUM(AH46:AH47)</f>
        <v>491599.5</v>
      </c>
      <c r="AI45" s="53"/>
      <c r="AJ45" s="53"/>
      <c r="AK45" s="81">
        <f>SUM(AK46:AK47)</f>
        <v>82026</v>
      </c>
      <c r="AL45" s="81"/>
      <c r="AM45" s="81"/>
      <c r="AN45" s="81">
        <f t="shared" ref="AN45:BR45" si="77">SUM(AN46:AN47)</f>
        <v>0</v>
      </c>
      <c r="AO45" s="81"/>
      <c r="AP45" s="81"/>
      <c r="AQ45" s="81">
        <f t="shared" si="77"/>
        <v>82026</v>
      </c>
      <c r="AR45" s="81"/>
      <c r="AS45" s="81"/>
      <c r="AT45" s="81">
        <f t="shared" si="77"/>
        <v>61519.499999999993</v>
      </c>
      <c r="AU45" s="81"/>
      <c r="AV45" s="81"/>
      <c r="AW45" s="81">
        <f t="shared" si="77"/>
        <v>41013</v>
      </c>
      <c r="AX45" s="81"/>
      <c r="AY45" s="81"/>
      <c r="AZ45" s="81">
        <f t="shared" si="77"/>
        <v>41013</v>
      </c>
      <c r="BA45" s="81"/>
      <c r="BB45" s="81"/>
      <c r="BC45" s="81">
        <f t="shared" si="77"/>
        <v>81469.5</v>
      </c>
      <c r="BD45" s="81"/>
      <c r="BE45" s="81"/>
      <c r="BF45" s="81">
        <f t="shared" si="77"/>
        <v>61519.499999999993</v>
      </c>
      <c r="BG45" s="81">
        <v>0</v>
      </c>
      <c r="BH45" s="81"/>
      <c r="BI45" s="81">
        <v>0</v>
      </c>
      <c r="BJ45" s="81"/>
      <c r="BK45" s="81"/>
      <c r="BL45" s="81">
        <f t="shared" si="77"/>
        <v>6835.5</v>
      </c>
      <c r="BM45" s="81"/>
      <c r="BN45" s="81"/>
      <c r="BO45" s="81">
        <f t="shared" si="77"/>
        <v>34177.5</v>
      </c>
      <c r="BP45" s="81"/>
      <c r="BQ45" s="81"/>
      <c r="BR45" s="81">
        <f t="shared" si="77"/>
        <v>0</v>
      </c>
      <c r="BT45" s="81">
        <f>SUM(BT46:BT47)</f>
        <v>869</v>
      </c>
      <c r="BU45" s="52">
        <f>IFERROR(BV45/BT45,0)</f>
        <v>660.87862268986555</v>
      </c>
      <c r="BV45" s="81">
        <f>SUM(BV46:BV47)</f>
        <v>574303.52311749314</v>
      </c>
      <c r="BW45" s="53"/>
      <c r="BX45" s="53"/>
      <c r="BY45" s="81">
        <f>SUM(BY46:BY47)</f>
        <v>76133.85831705766</v>
      </c>
      <c r="BZ45" s="53"/>
      <c r="CA45" s="53"/>
      <c r="CB45" s="81">
        <f>SUM(CB46:CB47)</f>
        <v>68503.014667814074</v>
      </c>
      <c r="CC45" s="53"/>
      <c r="CD45" s="53"/>
      <c r="CE45" s="81">
        <f t="shared" ref="CE45" si="78">SUM(CE46:CE47)</f>
        <v>52856.067114618694</v>
      </c>
      <c r="CF45" s="53"/>
      <c r="CG45" s="53"/>
      <c r="CH45" s="81">
        <f t="shared" ref="CH45" si="79">SUM(CH46:CH47)</f>
        <v>66928.147704620031</v>
      </c>
      <c r="CI45" s="53"/>
      <c r="CJ45" s="53"/>
      <c r="CK45" s="81">
        <f t="shared" ref="CK45" si="80">SUM(CK46:CK47)</f>
        <v>43575.465811519178</v>
      </c>
      <c r="CL45" s="53"/>
      <c r="CM45" s="53"/>
      <c r="CN45" s="81">
        <f t="shared" ref="CN45" si="81">SUM(CN46:CN47)</f>
        <v>52177.519444484562</v>
      </c>
      <c r="CO45" s="53"/>
      <c r="CP45" s="53"/>
      <c r="CQ45" s="81">
        <f>SUM(CQ46:CQ47)</f>
        <v>44773.640768462617</v>
      </c>
      <c r="CR45" s="53"/>
      <c r="CS45" s="53"/>
      <c r="CT45" s="81">
        <f t="shared" ref="CT45" si="82">SUM(CT46:CT47)</f>
        <v>12820.459941949504</v>
      </c>
      <c r="CU45" s="53">
        <v>84</v>
      </c>
      <c r="CV45" s="53"/>
      <c r="CW45" s="81">
        <v>56564.225529790987</v>
      </c>
      <c r="CX45" s="81">
        <f>SUM(CX46:CX47)</f>
        <v>98</v>
      </c>
      <c r="CY45" s="53"/>
      <c r="CZ45" s="81">
        <f t="shared" ref="CZ45" si="83">SUM(CZ46:CZ47)</f>
        <v>65564.777460130397</v>
      </c>
      <c r="DA45" s="53"/>
      <c r="DB45" s="53"/>
      <c r="DC45" s="81">
        <f t="shared" ref="DC45" si="84">SUM(DC46:DC47)</f>
        <v>34406.346357045419</v>
      </c>
      <c r="DD45" s="53"/>
      <c r="DE45" s="53"/>
      <c r="DF45" s="82">
        <f t="shared" ref="DF45" si="85">SUM(DF46:DF47)</f>
        <v>0</v>
      </c>
    </row>
    <row r="46" spans="1:110" ht="24.95" customHeight="1">
      <c r="A46" s="58">
        <v>32</v>
      </c>
      <c r="B46" s="74" t="s">
        <v>113</v>
      </c>
      <c r="C46" s="60" t="s">
        <v>50</v>
      </c>
      <c r="D46" s="75" t="s">
        <v>82</v>
      </c>
      <c r="E46" s="62" t="s">
        <v>95</v>
      </c>
      <c r="F46" s="60" t="s">
        <v>53</v>
      </c>
      <c r="G46" s="64">
        <v>22</v>
      </c>
      <c r="H46" s="76">
        <v>683.54634252582446</v>
      </c>
      <c r="I46" s="76">
        <v>15038.019535568139</v>
      </c>
      <c r="J46" s="33">
        <v>50</v>
      </c>
      <c r="K46" s="33">
        <v>683.55</v>
      </c>
      <c r="L46" s="33">
        <f t="shared" ref="L46:L47" si="86">J46*K46</f>
        <v>34177.5</v>
      </c>
      <c r="M46" s="34">
        <v>48</v>
      </c>
      <c r="N46" s="33">
        <f>IFERROR((G46*H46+J46*K46)/(G46+J46),0)</f>
        <v>683.5488824384463</v>
      </c>
      <c r="O46" s="33">
        <f>M46*N46</f>
        <v>32810.346357045419</v>
      </c>
      <c r="P46" s="137">
        <f t="shared" ref="P46:P47" si="87">G46+J46-M46</f>
        <v>24</v>
      </c>
      <c r="Q46" s="34">
        <f>N46</f>
        <v>683.5488824384463</v>
      </c>
      <c r="R46" s="33">
        <f>P46*Q46</f>
        <v>16405.173178522709</v>
      </c>
      <c r="S46" s="36">
        <v>46695</v>
      </c>
      <c r="T46" s="34">
        <v>690</v>
      </c>
      <c r="U46" s="34">
        <v>683.55</v>
      </c>
      <c r="V46" s="34">
        <v>471649.5</v>
      </c>
      <c r="W46" s="34">
        <v>800</v>
      </c>
      <c r="X46" s="34">
        <v>683.46565389686646</v>
      </c>
      <c r="Y46" s="34">
        <v>546772.52311749314</v>
      </c>
      <c r="Z46" s="34">
        <v>60</v>
      </c>
      <c r="AA46" s="33">
        <v>683.54599419495048</v>
      </c>
      <c r="AB46" s="34">
        <f t="shared" ref="AB46:AB47" si="88">Z46*AA46</f>
        <v>41012.75965169703</v>
      </c>
      <c r="AC46" s="33">
        <v>134</v>
      </c>
      <c r="AD46" s="33">
        <v>683.04648276706803</v>
      </c>
      <c r="AE46" s="33">
        <v>91528.228690787117</v>
      </c>
      <c r="AF46" s="65">
        <f t="shared" si="21"/>
        <v>690</v>
      </c>
      <c r="AG46" s="33">
        <f t="shared" si="18"/>
        <v>683.55</v>
      </c>
      <c r="AH46" s="65">
        <f t="shared" si="52"/>
        <v>471649.5</v>
      </c>
      <c r="AI46" s="33">
        <v>120</v>
      </c>
      <c r="AJ46" s="33">
        <v>683.55</v>
      </c>
      <c r="AK46" s="33">
        <v>82026</v>
      </c>
      <c r="AL46" s="33"/>
      <c r="AM46" s="33"/>
      <c r="AN46" s="33"/>
      <c r="AO46" s="33">
        <v>120</v>
      </c>
      <c r="AP46" s="33">
        <v>683.55</v>
      </c>
      <c r="AQ46" s="33">
        <v>82026</v>
      </c>
      <c r="AR46" s="33">
        <v>90</v>
      </c>
      <c r="AS46" s="33">
        <v>683.55</v>
      </c>
      <c r="AT46" s="33">
        <v>61519.499999999993</v>
      </c>
      <c r="AU46" s="33">
        <v>60</v>
      </c>
      <c r="AV46" s="33">
        <v>683.55</v>
      </c>
      <c r="AW46" s="33">
        <v>41013</v>
      </c>
      <c r="AX46" s="33">
        <v>60</v>
      </c>
      <c r="AY46" s="33">
        <v>683.55</v>
      </c>
      <c r="AZ46" s="33">
        <v>41013</v>
      </c>
      <c r="BA46" s="33">
        <v>90</v>
      </c>
      <c r="BB46" s="33">
        <v>683.55</v>
      </c>
      <c r="BC46" s="33">
        <v>61519.499999999993</v>
      </c>
      <c r="BD46" s="33">
        <v>90</v>
      </c>
      <c r="BE46" s="33">
        <v>683.55</v>
      </c>
      <c r="BF46" s="33">
        <v>61519.499999999993</v>
      </c>
      <c r="BG46" s="33"/>
      <c r="BH46" s="33"/>
      <c r="BI46" s="33">
        <v>0</v>
      </c>
      <c r="BJ46" s="33">
        <v>10</v>
      </c>
      <c r="BK46" s="33">
        <v>683.55</v>
      </c>
      <c r="BL46" s="33">
        <f>BJ46*BK46</f>
        <v>6835.5</v>
      </c>
      <c r="BM46" s="33">
        <v>50</v>
      </c>
      <c r="BN46" s="33">
        <v>683.55</v>
      </c>
      <c r="BO46" s="33">
        <f t="shared" ref="BO46:BO47" si="89">BM46*BN46</f>
        <v>34177.5</v>
      </c>
      <c r="BP46" s="33"/>
      <c r="BQ46" s="33"/>
      <c r="BR46" s="33"/>
      <c r="BT46" s="65">
        <f>SUMIF($BW$6:$DF$6,$BT$6,BW46:DF46)</f>
        <v>800</v>
      </c>
      <c r="BU46" s="33">
        <f t="shared" si="20"/>
        <v>683.46565389686646</v>
      </c>
      <c r="BV46" s="65">
        <f t="shared" si="22"/>
        <v>546772.52311749314</v>
      </c>
      <c r="BW46" s="33">
        <v>105</v>
      </c>
      <c r="BX46" s="33">
        <v>683.28436492435867</v>
      </c>
      <c r="BY46" s="33">
        <v>71744.85831705766</v>
      </c>
      <c r="BZ46" s="33">
        <v>95</v>
      </c>
      <c r="CA46" s="33">
        <v>683.28436492435867</v>
      </c>
      <c r="CB46" s="33">
        <v>64912.014667814074</v>
      </c>
      <c r="CC46" s="33">
        <v>75</v>
      </c>
      <c r="CD46" s="33">
        <v>683.46756152824923</v>
      </c>
      <c r="CE46" s="33">
        <v>51260.067114618694</v>
      </c>
      <c r="CF46" s="33">
        <v>95</v>
      </c>
      <c r="CG46" s="33">
        <v>683.50681794336867</v>
      </c>
      <c r="CH46" s="33">
        <v>64933.147704620023</v>
      </c>
      <c r="CI46" s="33">
        <v>62</v>
      </c>
      <c r="CJ46" s="33">
        <v>683.52364212127702</v>
      </c>
      <c r="CK46" s="33">
        <v>42378.465811519178</v>
      </c>
      <c r="CL46" s="33">
        <v>74</v>
      </c>
      <c r="CM46" s="33">
        <v>683.53404654708868</v>
      </c>
      <c r="CN46" s="33">
        <v>50581.519444484562</v>
      </c>
      <c r="CO46" s="33">
        <v>62</v>
      </c>
      <c r="CP46" s="33">
        <v>683.54259303971969</v>
      </c>
      <c r="CQ46" s="33">
        <v>42379.640768462617</v>
      </c>
      <c r="CR46" s="33">
        <v>10</v>
      </c>
      <c r="CS46" s="33">
        <v>683.54599419495048</v>
      </c>
      <c r="CT46" s="33">
        <v>6835.4599419495044</v>
      </c>
      <c r="CU46" s="33">
        <v>81</v>
      </c>
      <c r="CV46" s="33">
        <v>683.54599419495048</v>
      </c>
      <c r="CW46" s="33">
        <v>55367.225529790987</v>
      </c>
      <c r="CX46" s="34">
        <v>93</v>
      </c>
      <c r="CY46" s="35">
        <f>IFERROR((CR46*CS46+CU46*CV46)/(CR46+CU46),0)</f>
        <v>683.54599419495048</v>
      </c>
      <c r="CZ46" s="33">
        <f>CX46*CY46</f>
        <v>63569.777460130397</v>
      </c>
      <c r="DA46" s="34">
        <v>48</v>
      </c>
      <c r="DB46" s="33">
        <v>683.5488824384463</v>
      </c>
      <c r="DC46" s="33">
        <v>32810.346357045419</v>
      </c>
      <c r="DD46" s="33"/>
      <c r="DE46" s="33"/>
      <c r="DF46" s="66"/>
    </row>
    <row r="47" spans="1:110" ht="24.95" customHeight="1">
      <c r="A47" s="58">
        <v>33</v>
      </c>
      <c r="B47" s="74" t="s">
        <v>115</v>
      </c>
      <c r="C47" s="60" t="s">
        <v>116</v>
      </c>
      <c r="D47" s="75" t="s">
        <v>117</v>
      </c>
      <c r="E47" s="70" t="s">
        <v>114</v>
      </c>
      <c r="F47" s="60" t="s">
        <v>53</v>
      </c>
      <c r="G47" s="64">
        <v>30</v>
      </c>
      <c r="H47" s="76">
        <v>399</v>
      </c>
      <c r="I47" s="64">
        <v>11970</v>
      </c>
      <c r="J47" s="33"/>
      <c r="K47" s="33">
        <v>0</v>
      </c>
      <c r="L47" s="33">
        <f t="shared" si="86"/>
        <v>0</v>
      </c>
      <c r="M47" s="34">
        <v>4</v>
      </c>
      <c r="N47" s="33">
        <f>IFERROR((G47*H47+J47*K47)/(G47+J47),0)</f>
        <v>399</v>
      </c>
      <c r="O47" s="33">
        <f>M47*N47</f>
        <v>1596</v>
      </c>
      <c r="P47" s="137">
        <f t="shared" si="87"/>
        <v>26</v>
      </c>
      <c r="Q47" s="34">
        <f>N47</f>
        <v>399</v>
      </c>
      <c r="R47" s="33">
        <f>P47*Q47</f>
        <v>10374</v>
      </c>
      <c r="S47" s="36">
        <v>46389</v>
      </c>
      <c r="T47" s="34">
        <v>50</v>
      </c>
      <c r="U47" s="34">
        <v>399</v>
      </c>
      <c r="V47" s="34">
        <v>19950</v>
      </c>
      <c r="W47" s="34">
        <v>69</v>
      </c>
      <c r="X47" s="34">
        <v>399</v>
      </c>
      <c r="Y47" s="34">
        <v>27531</v>
      </c>
      <c r="Z47" s="34"/>
      <c r="AA47" s="33">
        <v>399</v>
      </c>
      <c r="AB47" s="34">
        <f t="shared" si="88"/>
        <v>0</v>
      </c>
      <c r="AC47" s="33">
        <v>45</v>
      </c>
      <c r="AD47" s="33">
        <v>399</v>
      </c>
      <c r="AE47" s="33">
        <v>17955</v>
      </c>
      <c r="AF47" s="65">
        <f t="shared" si="21"/>
        <v>50</v>
      </c>
      <c r="AG47" s="33">
        <f t="shared" si="18"/>
        <v>399</v>
      </c>
      <c r="AH47" s="65">
        <f t="shared" si="52"/>
        <v>19950</v>
      </c>
      <c r="AI47" s="33"/>
      <c r="AJ47" s="33">
        <v>0</v>
      </c>
      <c r="AK47" s="33">
        <v>0</v>
      </c>
      <c r="AL47" s="33"/>
      <c r="AM47" s="33"/>
      <c r="AN47" s="33"/>
      <c r="AO47" s="33"/>
      <c r="AP47" s="33"/>
      <c r="AQ47" s="33"/>
      <c r="AR47" s="33"/>
      <c r="AS47" s="33">
        <v>0</v>
      </c>
      <c r="AT47" s="33">
        <v>0</v>
      </c>
      <c r="AU47" s="33"/>
      <c r="AV47" s="33">
        <v>0</v>
      </c>
      <c r="AW47" s="33">
        <v>0</v>
      </c>
      <c r="AX47" s="33"/>
      <c r="AY47" s="33">
        <v>0</v>
      </c>
      <c r="AZ47" s="33">
        <v>0</v>
      </c>
      <c r="BA47" s="33">
        <v>50</v>
      </c>
      <c r="BB47" s="33">
        <v>399</v>
      </c>
      <c r="BC47" s="33">
        <v>19950</v>
      </c>
      <c r="BD47" s="33"/>
      <c r="BE47" s="33"/>
      <c r="BF47" s="33">
        <v>0</v>
      </c>
      <c r="BG47" s="33"/>
      <c r="BH47" s="33"/>
      <c r="BI47" s="33">
        <v>0</v>
      </c>
      <c r="BJ47" s="33"/>
      <c r="BK47" s="33">
        <v>0</v>
      </c>
      <c r="BL47" s="33">
        <f>BJ47*BK47</f>
        <v>0</v>
      </c>
      <c r="BM47" s="33"/>
      <c r="BN47" s="33">
        <v>0</v>
      </c>
      <c r="BO47" s="33">
        <f t="shared" si="89"/>
        <v>0</v>
      </c>
      <c r="BP47" s="33"/>
      <c r="BQ47" s="33"/>
      <c r="BR47" s="33"/>
      <c r="BT47" s="65">
        <f>SUMIF($BW$6:$DF$6,$BT$6,BW47:DF47)</f>
        <v>69</v>
      </c>
      <c r="BU47" s="33">
        <f t="shared" si="20"/>
        <v>399</v>
      </c>
      <c r="BV47" s="65">
        <f t="shared" si="22"/>
        <v>27531</v>
      </c>
      <c r="BW47" s="33">
        <v>11</v>
      </c>
      <c r="BX47" s="33">
        <v>399</v>
      </c>
      <c r="BY47" s="33">
        <v>4389</v>
      </c>
      <c r="BZ47" s="33">
        <v>9</v>
      </c>
      <c r="CA47" s="33">
        <v>399</v>
      </c>
      <c r="CB47" s="33">
        <v>3591</v>
      </c>
      <c r="CC47" s="33">
        <v>4</v>
      </c>
      <c r="CD47" s="33">
        <v>399</v>
      </c>
      <c r="CE47" s="33">
        <v>1596</v>
      </c>
      <c r="CF47" s="33">
        <v>5</v>
      </c>
      <c r="CG47" s="33">
        <v>399</v>
      </c>
      <c r="CH47" s="33">
        <v>1995</v>
      </c>
      <c r="CI47" s="33">
        <v>3</v>
      </c>
      <c r="CJ47" s="33">
        <v>399</v>
      </c>
      <c r="CK47" s="33">
        <v>1197</v>
      </c>
      <c r="CL47" s="33">
        <v>4</v>
      </c>
      <c r="CM47" s="33">
        <v>399</v>
      </c>
      <c r="CN47" s="33">
        <v>1596</v>
      </c>
      <c r="CO47" s="33">
        <v>6</v>
      </c>
      <c r="CP47" s="33">
        <v>399</v>
      </c>
      <c r="CQ47" s="33">
        <v>2394</v>
      </c>
      <c r="CR47" s="33">
        <v>15</v>
      </c>
      <c r="CS47" s="33">
        <v>399</v>
      </c>
      <c r="CT47" s="33">
        <v>5985</v>
      </c>
      <c r="CU47" s="33">
        <v>3</v>
      </c>
      <c r="CV47" s="33">
        <v>399</v>
      </c>
      <c r="CW47" s="33">
        <v>1197</v>
      </c>
      <c r="CX47" s="34">
        <v>5</v>
      </c>
      <c r="CY47" s="35">
        <f>IFERROR((CR47*CS47+CU47*CV47)/(CR47+CU47),0)</f>
        <v>399</v>
      </c>
      <c r="CZ47" s="33">
        <f>CX47*CY47</f>
        <v>1995</v>
      </c>
      <c r="DA47" s="34">
        <v>4</v>
      </c>
      <c r="DB47" s="33">
        <v>399</v>
      </c>
      <c r="DC47" s="33">
        <v>1596</v>
      </c>
      <c r="DD47" s="33"/>
      <c r="DE47" s="33"/>
      <c r="DF47" s="66"/>
    </row>
    <row r="48" spans="1:110" s="25" customFormat="1" ht="24.95" customHeight="1">
      <c r="A48" s="46" t="s">
        <v>23</v>
      </c>
      <c r="B48" s="47"/>
      <c r="C48" s="78"/>
      <c r="D48" s="79"/>
      <c r="E48" s="80"/>
      <c r="F48" s="51"/>
      <c r="G48" s="81">
        <f>SUM(G49:G60)</f>
        <v>2708</v>
      </c>
      <c r="H48" s="53"/>
      <c r="I48" s="81">
        <f>SUM(I49:I60)</f>
        <v>2874307.8006829545</v>
      </c>
      <c r="J48" s="81">
        <f>SUM(J49:J60)</f>
        <v>4650</v>
      </c>
      <c r="K48" s="53"/>
      <c r="L48" s="81">
        <f>SUM(L49:L60)</f>
        <v>6027449.4000000004</v>
      </c>
      <c r="M48" s="81">
        <f>SUM(M49:M60)</f>
        <v>4588</v>
      </c>
      <c r="N48" s="53"/>
      <c r="O48" s="81">
        <f>SUM(O49:O60)</f>
        <v>5648112.8587479908</v>
      </c>
      <c r="P48" s="81">
        <f>SUM(P49:P60)</f>
        <v>2770</v>
      </c>
      <c r="Q48" s="54"/>
      <c r="R48" s="81">
        <f>SUM(R49:R60)</f>
        <v>3253644.3419349631</v>
      </c>
      <c r="S48" s="56"/>
      <c r="T48" s="55">
        <v>44020</v>
      </c>
      <c r="U48" s="55">
        <v>1090.5359870513403</v>
      </c>
      <c r="V48" s="55">
        <v>48005394.149999999</v>
      </c>
      <c r="W48" s="55">
        <v>44771</v>
      </c>
      <c r="X48" s="55">
        <v>1076.9115392428453</v>
      </c>
      <c r="Y48" s="55">
        <v>48214406.523441426</v>
      </c>
      <c r="Z48" s="81">
        <f>SUM(Z49:Z60)</f>
        <v>4800</v>
      </c>
      <c r="AA48" s="53"/>
      <c r="AB48" s="81">
        <f>SUM(AB49:AB60)</f>
        <v>4987278.4822855964</v>
      </c>
      <c r="AC48" s="81">
        <f>SUM(AC49:AC60)</f>
        <v>3521</v>
      </c>
      <c r="AD48" s="54"/>
      <c r="AE48" s="81">
        <f>SUM(AE49:AE60)</f>
        <v>3462656.715376392</v>
      </c>
      <c r="AF48" s="81">
        <f>SUM(AF49:AF60)</f>
        <v>44020</v>
      </c>
      <c r="AG48" s="52">
        <f>IFERROR(AH48/AF48,0)</f>
        <v>1090.5359870513403</v>
      </c>
      <c r="AH48" s="81">
        <f>SUM(AH49:AH60)</f>
        <v>48005394.149999999</v>
      </c>
      <c r="AI48" s="81"/>
      <c r="AJ48" s="81"/>
      <c r="AK48" s="81">
        <f>SUM(AK49:AK59)</f>
        <v>6694078.7999999998</v>
      </c>
      <c r="AL48" s="81"/>
      <c r="AM48" s="81"/>
      <c r="AN48" s="81">
        <f>SUM(AN49:AN59)</f>
        <v>0</v>
      </c>
      <c r="AO48" s="81"/>
      <c r="AP48" s="81"/>
      <c r="AQ48" s="81">
        <f>SUM(AQ49:AQ59)</f>
        <v>5271101.0999999996</v>
      </c>
      <c r="AR48" s="81"/>
      <c r="AS48" s="81"/>
      <c r="AT48" s="81">
        <f>SUM(AT49:AT59)</f>
        <v>3872027.1</v>
      </c>
      <c r="AU48" s="81"/>
      <c r="AV48" s="81"/>
      <c r="AW48" s="81">
        <f>SUM(AW49:AW59)</f>
        <v>4070672.4</v>
      </c>
      <c r="AX48" s="81"/>
      <c r="AY48" s="81"/>
      <c r="AZ48" s="81">
        <f>SUM(AZ49:AZ59)</f>
        <v>4340207.4000000004</v>
      </c>
      <c r="BA48" s="81"/>
      <c r="BB48" s="81"/>
      <c r="BC48" s="81">
        <f>SUM(BC49:BC59)</f>
        <v>4572257.4000000004</v>
      </c>
      <c r="BD48" s="81"/>
      <c r="BE48" s="81"/>
      <c r="BF48" s="81">
        <f>SUM(BF49:BF59)</f>
        <v>4287205.5</v>
      </c>
      <c r="BG48" s="81">
        <v>3750</v>
      </c>
      <c r="BH48" s="81"/>
      <c r="BI48" s="81">
        <v>4175078.7</v>
      </c>
      <c r="BJ48" s="81"/>
      <c r="BK48" s="81"/>
      <c r="BL48" s="81">
        <f>SUM(BL49:BL59)</f>
        <v>4695316.3499999996</v>
      </c>
      <c r="BM48" s="81"/>
      <c r="BN48" s="81"/>
      <c r="BO48" s="81">
        <f>SUM(BO49:BO60)</f>
        <v>6027449.4000000004</v>
      </c>
      <c r="BP48" s="81"/>
      <c r="BQ48" s="81"/>
      <c r="BR48" s="81">
        <f>SUM(BR49:BR59)</f>
        <v>0</v>
      </c>
      <c r="BT48" s="81">
        <f>SUM(BT49:BT60)</f>
        <v>44771</v>
      </c>
      <c r="BU48" s="52">
        <f>IFERROR(BV48/BT48,0)</f>
        <v>1076.9115392428453</v>
      </c>
      <c r="BV48" s="81">
        <f>SUM(BV49:BV60)</f>
        <v>48214406.523441426</v>
      </c>
      <c r="BW48" s="81"/>
      <c r="BX48" s="81"/>
      <c r="BY48" s="81">
        <f>SUM(BY49:BY59)</f>
        <v>5596651.4794469252</v>
      </c>
      <c r="BZ48" s="81"/>
      <c r="CA48" s="81"/>
      <c r="CB48" s="81">
        <f>SUM(CB49:CB59)</f>
        <v>3851241.5967643093</v>
      </c>
      <c r="CC48" s="81"/>
      <c r="CD48" s="81"/>
      <c r="CE48" s="81">
        <f>SUM(CE49:CE59)</f>
        <v>3321008.9570359099</v>
      </c>
      <c r="CF48" s="81"/>
      <c r="CG48" s="81"/>
      <c r="CH48" s="81">
        <f>SUM(CH49:CH59)</f>
        <v>3932500.2871533232</v>
      </c>
      <c r="CI48" s="81"/>
      <c r="CJ48" s="81"/>
      <c r="CK48" s="81">
        <f>SUM(CK49:CK59)</f>
        <v>4361655.7486966997</v>
      </c>
      <c r="CL48" s="81"/>
      <c r="CM48" s="81"/>
      <c r="CN48" s="81">
        <f>SUM(CN49:CN59)</f>
        <v>3953734.0795847913</v>
      </c>
      <c r="CO48" s="81"/>
      <c r="CP48" s="81"/>
      <c r="CQ48" s="81">
        <f>SUM(CQ49:CQ59)</f>
        <v>4036564.3041184777</v>
      </c>
      <c r="CR48" s="81"/>
      <c r="CS48" s="81"/>
      <c r="CT48" s="81">
        <f>SUM(CT49:CT59)</f>
        <v>5100494.270531713</v>
      </c>
      <c r="CU48" s="81">
        <v>3723</v>
      </c>
      <c r="CV48" s="81"/>
      <c r="CW48" s="81">
        <v>4145321.1012754915</v>
      </c>
      <c r="CX48" s="81">
        <f>SUM(CX49:CX59)</f>
        <v>3816</v>
      </c>
      <c r="CY48" s="81"/>
      <c r="CZ48" s="81">
        <f>SUM(CZ49:CZ59)</f>
        <v>4267121.8400857961</v>
      </c>
      <c r="DA48" s="81"/>
      <c r="DB48" s="81"/>
      <c r="DC48" s="81">
        <f>SUM(DC49:DC60)</f>
        <v>5648112.8587479908</v>
      </c>
      <c r="DD48" s="81"/>
      <c r="DE48" s="81"/>
      <c r="DF48" s="82">
        <f>SUM(DF49:DF59)</f>
        <v>0</v>
      </c>
    </row>
    <row r="49" spans="1:110" ht="24.95" customHeight="1">
      <c r="A49" s="58">
        <v>34</v>
      </c>
      <c r="B49" s="86" t="s">
        <v>134</v>
      </c>
      <c r="C49" s="60" t="s">
        <v>50</v>
      </c>
      <c r="D49" s="75" t="s">
        <v>107</v>
      </c>
      <c r="E49" s="70" t="s">
        <v>136</v>
      </c>
      <c r="F49" s="60" t="s">
        <v>111</v>
      </c>
      <c r="G49" s="64">
        <v>86</v>
      </c>
      <c r="H49" s="76">
        <v>284.04000000000002</v>
      </c>
      <c r="I49" s="76">
        <v>24427.440000000002</v>
      </c>
      <c r="J49" s="33"/>
      <c r="K49" s="33">
        <v>0</v>
      </c>
      <c r="L49" s="33">
        <f t="shared" ref="L49:L60" si="90">J49*K49</f>
        <v>0</v>
      </c>
      <c r="M49" s="34">
        <v>86</v>
      </c>
      <c r="N49" s="33">
        <f t="shared" ref="N49:N59" si="91">IFERROR((G49*H49+J49*K49)/(G49+J49),0)</f>
        <v>284.04000000000002</v>
      </c>
      <c r="O49" s="33">
        <f t="shared" ref="O49:O59" si="92">M49*N49</f>
        <v>24427.440000000002</v>
      </c>
      <c r="P49" s="137">
        <f t="shared" ref="P49:P60" si="93">G49+J49-M49</f>
        <v>0</v>
      </c>
      <c r="Q49" s="34">
        <f>N49</f>
        <v>284.04000000000002</v>
      </c>
      <c r="R49" s="33">
        <f>P49*Q49</f>
        <v>0</v>
      </c>
      <c r="S49" s="36">
        <v>46984</v>
      </c>
      <c r="T49" s="34">
        <v>2100</v>
      </c>
      <c r="U49" s="34">
        <v>284.04000000000002</v>
      </c>
      <c r="V49" s="34">
        <v>596484</v>
      </c>
      <c r="W49" s="34">
        <v>2400</v>
      </c>
      <c r="X49" s="34">
        <v>284.04000000000002</v>
      </c>
      <c r="Y49" s="34">
        <v>681696</v>
      </c>
      <c r="Z49" s="34">
        <v>100</v>
      </c>
      <c r="AA49" s="33">
        <v>284.04000000000002</v>
      </c>
      <c r="AB49" s="34">
        <f t="shared" ref="AB49:AB60" si="94">Z49*AA49</f>
        <v>28404.000000000004</v>
      </c>
      <c r="AC49" s="33">
        <v>300</v>
      </c>
      <c r="AD49" s="33">
        <v>284.04000000000002</v>
      </c>
      <c r="AE49" s="33">
        <v>85212</v>
      </c>
      <c r="AF49" s="65">
        <f t="shared" si="21"/>
        <v>2100</v>
      </c>
      <c r="AG49" s="33">
        <f t="shared" si="18"/>
        <v>284.04000000000002</v>
      </c>
      <c r="AH49" s="65">
        <f t="shared" si="52"/>
        <v>596484</v>
      </c>
      <c r="AI49" s="33">
        <v>500</v>
      </c>
      <c r="AJ49" s="33">
        <v>284.04000000000002</v>
      </c>
      <c r="AK49" s="33">
        <v>142020</v>
      </c>
      <c r="AL49" s="33"/>
      <c r="AM49" s="33"/>
      <c r="AN49" s="33"/>
      <c r="AO49" s="33">
        <v>300</v>
      </c>
      <c r="AP49" s="33">
        <v>284.04000000000002</v>
      </c>
      <c r="AQ49" s="33">
        <v>85212</v>
      </c>
      <c r="AR49" s="33">
        <v>200</v>
      </c>
      <c r="AS49" s="33">
        <v>284.04000000000002</v>
      </c>
      <c r="AT49" s="33">
        <v>56808.000000000007</v>
      </c>
      <c r="AU49" s="33">
        <v>200</v>
      </c>
      <c r="AV49" s="33">
        <v>284.04000000000002</v>
      </c>
      <c r="AW49" s="33">
        <v>56808.000000000007</v>
      </c>
      <c r="AX49" s="33">
        <v>200</v>
      </c>
      <c r="AY49" s="33">
        <v>284.04000000000002</v>
      </c>
      <c r="AZ49" s="33">
        <v>56808.000000000007</v>
      </c>
      <c r="BA49" s="33">
        <v>200</v>
      </c>
      <c r="BB49" s="33">
        <v>284.04000000000002</v>
      </c>
      <c r="BC49" s="33">
        <v>56808.000000000007</v>
      </c>
      <c r="BD49" s="33">
        <v>200</v>
      </c>
      <c r="BE49" s="33">
        <v>284.04000000000002</v>
      </c>
      <c r="BF49" s="33">
        <v>56808.000000000007</v>
      </c>
      <c r="BG49" s="33">
        <v>100</v>
      </c>
      <c r="BH49" s="33">
        <v>284.04000000000002</v>
      </c>
      <c r="BI49" s="33">
        <v>28404.000000000004</v>
      </c>
      <c r="BJ49" s="33">
        <v>200</v>
      </c>
      <c r="BK49" s="33">
        <v>284.04000000000002</v>
      </c>
      <c r="BL49" s="33">
        <v>56808.000000000007</v>
      </c>
      <c r="BM49" s="33"/>
      <c r="BN49" s="33">
        <v>0</v>
      </c>
      <c r="BO49" s="33">
        <v>0</v>
      </c>
      <c r="BP49" s="33"/>
      <c r="BQ49" s="33"/>
      <c r="BR49" s="33"/>
      <c r="BT49" s="65">
        <f>SUMIF($BW$6:$DF$6,$BT$6,BW49:DF49)</f>
        <v>2400</v>
      </c>
      <c r="BU49" s="33">
        <f t="shared" si="20"/>
        <v>284.04000000000002</v>
      </c>
      <c r="BV49" s="65">
        <f t="shared" si="22"/>
        <v>681696</v>
      </c>
      <c r="BW49" s="33">
        <v>326</v>
      </c>
      <c r="BX49" s="33">
        <v>284.04000000000002</v>
      </c>
      <c r="BY49" s="33">
        <v>92597.040000000008</v>
      </c>
      <c r="BZ49" s="33">
        <v>312</v>
      </c>
      <c r="CA49" s="33">
        <v>284.04000000000002</v>
      </c>
      <c r="CB49" s="33">
        <v>88620.48000000001</v>
      </c>
      <c r="CC49" s="33">
        <v>285</v>
      </c>
      <c r="CD49" s="33">
        <v>284.04000000000002</v>
      </c>
      <c r="CE49" s="33">
        <v>80951.400000000009</v>
      </c>
      <c r="CF49" s="33">
        <v>262</v>
      </c>
      <c r="CG49" s="33">
        <v>284.04000000000002</v>
      </c>
      <c r="CH49" s="33">
        <v>74418.48000000001</v>
      </c>
      <c r="CI49" s="33">
        <v>203</v>
      </c>
      <c r="CJ49" s="33">
        <v>284.04000000000002</v>
      </c>
      <c r="CK49" s="33">
        <v>57660.12</v>
      </c>
      <c r="CL49" s="33">
        <v>188</v>
      </c>
      <c r="CM49" s="33">
        <v>284.04000000000002</v>
      </c>
      <c r="CN49" s="33">
        <v>53399.520000000004</v>
      </c>
      <c r="CO49" s="33">
        <v>234</v>
      </c>
      <c r="CP49" s="33">
        <v>284.04000000000002</v>
      </c>
      <c r="CQ49" s="33">
        <v>66465.36</v>
      </c>
      <c r="CR49" s="33">
        <v>45</v>
      </c>
      <c r="CS49" s="33">
        <v>284.04000000000002</v>
      </c>
      <c r="CT49" s="33">
        <v>12781.800000000001</v>
      </c>
      <c r="CU49" s="33">
        <v>216</v>
      </c>
      <c r="CV49" s="33">
        <v>284.04000000000002</v>
      </c>
      <c r="CW49" s="33">
        <v>61352.640000000007</v>
      </c>
      <c r="CX49" s="33">
        <v>243</v>
      </c>
      <c r="CY49" s="33">
        <v>284.04000000000002</v>
      </c>
      <c r="CZ49" s="33">
        <v>69021.72</v>
      </c>
      <c r="DA49" s="33">
        <v>86</v>
      </c>
      <c r="DB49" s="33">
        <v>284.04000000000002</v>
      </c>
      <c r="DC49" s="33">
        <v>24427.440000000002</v>
      </c>
      <c r="DD49" s="33"/>
      <c r="DE49" s="33"/>
      <c r="DF49" s="66"/>
    </row>
    <row r="50" spans="1:110" ht="24.95" customHeight="1">
      <c r="A50" s="58">
        <v>35</v>
      </c>
      <c r="B50" s="86" t="s">
        <v>135</v>
      </c>
      <c r="C50" s="60" t="s">
        <v>50</v>
      </c>
      <c r="D50" s="75" t="s">
        <v>137</v>
      </c>
      <c r="E50" s="70" t="s">
        <v>128</v>
      </c>
      <c r="F50" s="60" t="s">
        <v>111</v>
      </c>
      <c r="G50" s="64">
        <v>297</v>
      </c>
      <c r="H50" s="76">
        <v>514.48615752425872</v>
      </c>
      <c r="I50" s="76">
        <v>152802.38878470485</v>
      </c>
      <c r="J50" s="33">
        <v>600</v>
      </c>
      <c r="K50" s="33">
        <v>514.5</v>
      </c>
      <c r="L50" s="33">
        <f t="shared" si="90"/>
        <v>308700</v>
      </c>
      <c r="M50" s="34">
        <v>544</v>
      </c>
      <c r="N50" s="33">
        <f t="shared" si="91"/>
        <v>514.49541670535655</v>
      </c>
      <c r="O50" s="33">
        <f t="shared" si="92"/>
        <v>279885.50668771396</v>
      </c>
      <c r="P50" s="137">
        <f t="shared" si="93"/>
        <v>353</v>
      </c>
      <c r="Q50" s="34">
        <f t="shared" ref="Q50:Q60" si="95">N50</f>
        <v>514.49541670535655</v>
      </c>
      <c r="R50" s="33">
        <f t="shared" ref="R50:R59" si="96">P50*Q50</f>
        <v>181616.88209699086</v>
      </c>
      <c r="S50" s="36">
        <v>47016</v>
      </c>
      <c r="T50" s="34">
        <v>5700</v>
      </c>
      <c r="U50" s="34">
        <v>510.11578947368423</v>
      </c>
      <c r="V50" s="34">
        <v>2907660</v>
      </c>
      <c r="W50" s="34">
        <v>5860</v>
      </c>
      <c r="X50" s="34">
        <v>510.23403997999708</v>
      </c>
      <c r="Y50" s="34">
        <v>2989971.474282783</v>
      </c>
      <c r="Z50" s="34">
        <v>600</v>
      </c>
      <c r="AA50" s="33">
        <v>514.44150437670646</v>
      </c>
      <c r="AB50" s="34">
        <f t="shared" si="94"/>
        <v>308664.90262602386</v>
      </c>
      <c r="AC50" s="33">
        <v>513</v>
      </c>
      <c r="AD50" s="33">
        <v>514.48022686115883</v>
      </c>
      <c r="AE50" s="33">
        <v>263928.35637977446</v>
      </c>
      <c r="AF50" s="65">
        <f t="shared" si="21"/>
        <v>5700</v>
      </c>
      <c r="AG50" s="33">
        <f t="shared" si="18"/>
        <v>510.11578947368423</v>
      </c>
      <c r="AH50" s="65">
        <f t="shared" si="52"/>
        <v>2907660</v>
      </c>
      <c r="AI50" s="33">
        <v>900</v>
      </c>
      <c r="AJ50" s="33">
        <v>514.5</v>
      </c>
      <c r="AK50" s="33">
        <v>463050</v>
      </c>
      <c r="AL50" s="33"/>
      <c r="AM50" s="33"/>
      <c r="AN50" s="33"/>
      <c r="AO50" s="33">
        <v>700</v>
      </c>
      <c r="AP50" s="33">
        <v>478.8</v>
      </c>
      <c r="AQ50" s="33">
        <v>335160</v>
      </c>
      <c r="AR50" s="33">
        <v>400</v>
      </c>
      <c r="AS50" s="33">
        <v>514.5</v>
      </c>
      <c r="AT50" s="33">
        <v>205800</v>
      </c>
      <c r="AU50" s="33">
        <v>400</v>
      </c>
      <c r="AV50" s="33">
        <v>514.5</v>
      </c>
      <c r="AW50" s="33">
        <v>205800</v>
      </c>
      <c r="AX50" s="33">
        <v>500</v>
      </c>
      <c r="AY50" s="33">
        <v>514.5</v>
      </c>
      <c r="AZ50" s="33">
        <v>257250</v>
      </c>
      <c r="BA50" s="33">
        <v>600</v>
      </c>
      <c r="BB50" s="33">
        <v>514.5</v>
      </c>
      <c r="BC50" s="33">
        <v>308700</v>
      </c>
      <c r="BD50" s="33">
        <v>500</v>
      </c>
      <c r="BE50" s="33">
        <v>514.5</v>
      </c>
      <c r="BF50" s="33">
        <v>257250</v>
      </c>
      <c r="BG50" s="33">
        <v>500</v>
      </c>
      <c r="BH50" s="33">
        <v>514.5</v>
      </c>
      <c r="BI50" s="33">
        <v>257250</v>
      </c>
      <c r="BJ50" s="33">
        <v>600</v>
      </c>
      <c r="BK50" s="33">
        <v>514.5</v>
      </c>
      <c r="BL50" s="33">
        <v>308700</v>
      </c>
      <c r="BM50" s="33">
        <v>600</v>
      </c>
      <c r="BN50" s="33">
        <v>514.5</v>
      </c>
      <c r="BO50" s="33">
        <v>308700</v>
      </c>
      <c r="BP50" s="33"/>
      <c r="BQ50" s="33"/>
      <c r="BR50" s="33"/>
      <c r="BT50" s="65">
        <f>SUMIF($BW$6:$DF$6,$BT$6,BW50:DF50)</f>
        <v>5860</v>
      </c>
      <c r="BU50" s="33">
        <f t="shared" si="20"/>
        <v>510.23403997999708</v>
      </c>
      <c r="BV50" s="65">
        <f t="shared" si="22"/>
        <v>2989971.474282783</v>
      </c>
      <c r="BW50" s="33">
        <v>779</v>
      </c>
      <c r="BX50" s="33">
        <v>514.4928212171086</v>
      </c>
      <c r="BY50" s="33">
        <v>400789.90772812761</v>
      </c>
      <c r="BZ50" s="33">
        <v>583</v>
      </c>
      <c r="CA50" s="33">
        <v>514.4928212171086</v>
      </c>
      <c r="CB50" s="33">
        <v>299949.31476957432</v>
      </c>
      <c r="CC50" s="33">
        <v>541</v>
      </c>
      <c r="CD50" s="33">
        <v>481.2238800027597</v>
      </c>
      <c r="CE50" s="33">
        <v>260342.119081493</v>
      </c>
      <c r="CF50" s="33">
        <v>382</v>
      </c>
      <c r="CG50" s="33">
        <v>503.04428655832709</v>
      </c>
      <c r="CH50" s="33">
        <v>192162.91746528095</v>
      </c>
      <c r="CI50" s="33">
        <v>390</v>
      </c>
      <c r="CJ50" s="33">
        <v>510.34091932372382</v>
      </c>
      <c r="CK50" s="33">
        <v>199032.95853625229</v>
      </c>
      <c r="CL50" s="33">
        <v>430</v>
      </c>
      <c r="CM50" s="33">
        <v>513.15872465995426</v>
      </c>
      <c r="CN50" s="33">
        <v>220658.25160378034</v>
      </c>
      <c r="CO50" s="33">
        <v>558</v>
      </c>
      <c r="CP50" s="33">
        <v>514.04502995073335</v>
      </c>
      <c r="CQ50" s="33">
        <v>286837.1267125092</v>
      </c>
      <c r="CR50" s="33">
        <v>623</v>
      </c>
      <c r="CS50" s="33">
        <v>514.31265939147841</v>
      </c>
      <c r="CT50" s="33">
        <v>320416.78680089104</v>
      </c>
      <c r="CU50" s="33">
        <v>541</v>
      </c>
      <c r="CV50" s="33">
        <v>514.44150437670646</v>
      </c>
      <c r="CW50" s="33">
        <v>278312.85386779817</v>
      </c>
      <c r="CX50" s="33">
        <v>489</v>
      </c>
      <c r="CY50" s="33">
        <v>514.48615752425872</v>
      </c>
      <c r="CZ50" s="33">
        <v>251583.73102936251</v>
      </c>
      <c r="DA50" s="33">
        <v>544</v>
      </c>
      <c r="DB50" s="33">
        <v>514.49541670535655</v>
      </c>
      <c r="DC50" s="33">
        <v>279885.50668771396</v>
      </c>
      <c r="DD50" s="33"/>
      <c r="DE50" s="33"/>
      <c r="DF50" s="66"/>
    </row>
    <row r="51" spans="1:110" ht="24.95" customHeight="1">
      <c r="A51" s="58">
        <v>36</v>
      </c>
      <c r="B51" s="86" t="s">
        <v>139</v>
      </c>
      <c r="C51" s="60" t="s">
        <v>50</v>
      </c>
      <c r="D51" s="75" t="s">
        <v>110</v>
      </c>
      <c r="E51" s="70" t="s">
        <v>56</v>
      </c>
      <c r="F51" s="60" t="s">
        <v>111</v>
      </c>
      <c r="G51" s="64">
        <v>151</v>
      </c>
      <c r="H51" s="76">
        <v>1200.1499999999796</v>
      </c>
      <c r="I51" s="76">
        <v>181222.64999999694</v>
      </c>
      <c r="J51" s="33">
        <v>200</v>
      </c>
      <c r="K51" s="33">
        <v>1200.1500000000001</v>
      </c>
      <c r="L51" s="33">
        <f t="shared" si="90"/>
        <v>240030.00000000003</v>
      </c>
      <c r="M51" s="34">
        <v>193</v>
      </c>
      <c r="N51" s="33">
        <f>IFERROR((G51*H51+J51*K51)/(G51+J51),0)</f>
        <v>1200.1499999999915</v>
      </c>
      <c r="O51" s="33">
        <f t="shared" si="92"/>
        <v>231628.94999999835</v>
      </c>
      <c r="P51" s="137">
        <f t="shared" si="93"/>
        <v>158</v>
      </c>
      <c r="Q51" s="34">
        <f t="shared" si="95"/>
        <v>1200.1499999999915</v>
      </c>
      <c r="R51" s="33">
        <f t="shared" si="96"/>
        <v>189623.69999999864</v>
      </c>
      <c r="S51" s="36">
        <v>47013</v>
      </c>
      <c r="T51" s="34">
        <v>3700</v>
      </c>
      <c r="U51" s="34">
        <v>1200.1500000000001</v>
      </c>
      <c r="V51" s="34">
        <v>4440555</v>
      </c>
      <c r="W51" s="34">
        <v>3842</v>
      </c>
      <c r="X51" s="34">
        <v>1200.1499999453454</v>
      </c>
      <c r="Y51" s="34">
        <v>4610976.2997900173</v>
      </c>
      <c r="Z51" s="34">
        <v>300</v>
      </c>
      <c r="AA51" s="33">
        <v>1200.1499999999455</v>
      </c>
      <c r="AB51" s="34">
        <f t="shared" si="94"/>
        <v>360044.99999998364</v>
      </c>
      <c r="AC51" s="33">
        <v>300</v>
      </c>
      <c r="AD51" s="33">
        <v>1200.1499993000507</v>
      </c>
      <c r="AE51" s="33">
        <v>360044.99979001522</v>
      </c>
      <c r="AF51" s="65">
        <f t="shared" si="21"/>
        <v>3700</v>
      </c>
      <c r="AG51" s="33">
        <f t="shared" si="18"/>
        <v>1200.1500000000001</v>
      </c>
      <c r="AH51" s="65">
        <f t="shared" si="52"/>
        <v>4440555</v>
      </c>
      <c r="AI51" s="33">
        <v>700</v>
      </c>
      <c r="AJ51" s="33">
        <v>1200.1500000000001</v>
      </c>
      <c r="AK51" s="33">
        <v>840105.00000000012</v>
      </c>
      <c r="AL51" s="33"/>
      <c r="AM51" s="33"/>
      <c r="AN51" s="33"/>
      <c r="AO51" s="33">
        <v>700</v>
      </c>
      <c r="AP51" s="33">
        <v>1200.1500000000001</v>
      </c>
      <c r="AQ51" s="33">
        <v>840105.00000000012</v>
      </c>
      <c r="AR51" s="33">
        <v>300</v>
      </c>
      <c r="AS51" s="33">
        <v>1200.1500000000001</v>
      </c>
      <c r="AT51" s="33">
        <v>360045</v>
      </c>
      <c r="AU51" s="33">
        <v>300</v>
      </c>
      <c r="AV51" s="33">
        <v>1200.1500000000001</v>
      </c>
      <c r="AW51" s="33">
        <v>360045</v>
      </c>
      <c r="AX51" s="33">
        <v>400</v>
      </c>
      <c r="AY51" s="33">
        <v>1200.1500000000001</v>
      </c>
      <c r="AZ51" s="33">
        <v>480060.00000000006</v>
      </c>
      <c r="BA51" s="33">
        <v>400</v>
      </c>
      <c r="BB51" s="33">
        <v>1200.1500000000001</v>
      </c>
      <c r="BC51" s="33">
        <v>480060.00000000006</v>
      </c>
      <c r="BD51" s="33">
        <v>400</v>
      </c>
      <c r="BE51" s="33">
        <v>1200.1500000000001</v>
      </c>
      <c r="BF51" s="33">
        <v>480060.00000000006</v>
      </c>
      <c r="BG51" s="33">
        <v>100</v>
      </c>
      <c r="BH51" s="33">
        <v>1200.1500000000001</v>
      </c>
      <c r="BI51" s="33">
        <v>120015.00000000001</v>
      </c>
      <c r="BJ51" s="33">
        <v>200</v>
      </c>
      <c r="BK51" s="33">
        <v>1200.1500000000001</v>
      </c>
      <c r="BL51" s="33">
        <v>240030.00000000003</v>
      </c>
      <c r="BM51" s="33">
        <v>200</v>
      </c>
      <c r="BN51" s="33">
        <v>1200.1500000000001</v>
      </c>
      <c r="BO51" s="33">
        <v>240030.00000000003</v>
      </c>
      <c r="BP51" s="33"/>
      <c r="BQ51" s="33"/>
      <c r="BR51" s="33"/>
      <c r="BT51" s="65">
        <f>SUMIF($BW$6:$DF$6,$BT$6,BW51:DF51)</f>
        <v>3842</v>
      </c>
      <c r="BU51" s="33">
        <f t="shared" si="20"/>
        <v>1200.1499999453454</v>
      </c>
      <c r="BV51" s="65">
        <f t="shared" si="22"/>
        <v>4610976.2997900173</v>
      </c>
      <c r="BW51" s="33">
        <v>559</v>
      </c>
      <c r="BX51" s="33">
        <v>1200.1499997900155</v>
      </c>
      <c r="BY51" s="33">
        <v>670883.84988261864</v>
      </c>
      <c r="BZ51" s="33">
        <v>385</v>
      </c>
      <c r="CA51" s="33">
        <v>1200.1499997900155</v>
      </c>
      <c r="CB51" s="33">
        <v>462057.74991915596</v>
      </c>
      <c r="CC51" s="33">
        <v>342</v>
      </c>
      <c r="CD51" s="33">
        <v>1200.1499999844459</v>
      </c>
      <c r="CE51" s="33">
        <v>410451.29999468051</v>
      </c>
      <c r="CF51" s="33">
        <v>487</v>
      </c>
      <c r="CG51" s="33">
        <v>1200.1499999909813</v>
      </c>
      <c r="CH51" s="33">
        <v>584473.04999560793</v>
      </c>
      <c r="CI51" s="33">
        <v>412</v>
      </c>
      <c r="CJ51" s="33">
        <v>1200.1499999961154</v>
      </c>
      <c r="CK51" s="33">
        <v>494461.79999839957</v>
      </c>
      <c r="CL51" s="33">
        <v>385</v>
      </c>
      <c r="CM51" s="33">
        <v>1200.1499999991327</v>
      </c>
      <c r="CN51" s="33">
        <v>462057.74999966606</v>
      </c>
      <c r="CO51" s="33">
        <v>332</v>
      </c>
      <c r="CP51" s="33">
        <v>1200.1499999997873</v>
      </c>
      <c r="CQ51" s="33">
        <v>398449.79999992938</v>
      </c>
      <c r="CR51" s="33">
        <v>256</v>
      </c>
      <c r="CS51" s="33">
        <v>1200.1499999999296</v>
      </c>
      <c r="CT51" s="33">
        <v>307238.39999998198</v>
      </c>
      <c r="CU51" s="33">
        <v>320</v>
      </c>
      <c r="CV51" s="33">
        <v>1200.1499999999455</v>
      </c>
      <c r="CW51" s="33">
        <v>384047.99999998254</v>
      </c>
      <c r="CX51" s="33">
        <v>171</v>
      </c>
      <c r="CY51" s="33">
        <v>1200.1499999999796</v>
      </c>
      <c r="CZ51" s="33">
        <v>205225.64999999653</v>
      </c>
      <c r="DA51" s="33">
        <v>193</v>
      </c>
      <c r="DB51" s="33">
        <v>1200.1499999999915</v>
      </c>
      <c r="DC51" s="33">
        <v>231628.94999999835</v>
      </c>
      <c r="DD51" s="33"/>
      <c r="DE51" s="33"/>
      <c r="DF51" s="66"/>
    </row>
    <row r="52" spans="1:110" ht="24.95" customHeight="1">
      <c r="A52" s="58">
        <v>37</v>
      </c>
      <c r="B52" s="86" t="s">
        <v>138</v>
      </c>
      <c r="C52" s="60" t="s">
        <v>50</v>
      </c>
      <c r="D52" s="75" t="s">
        <v>83</v>
      </c>
      <c r="E52" s="70" t="s">
        <v>108</v>
      </c>
      <c r="F52" s="60" t="s">
        <v>111</v>
      </c>
      <c r="G52" s="64">
        <v>299</v>
      </c>
      <c r="H52" s="76">
        <v>618.94419018535768</v>
      </c>
      <c r="I52" s="76">
        <v>185064.31286542196</v>
      </c>
      <c r="J52" s="33">
        <v>500</v>
      </c>
      <c r="K52" s="33">
        <v>2520</v>
      </c>
      <c r="L52" s="33">
        <f t="shared" si="90"/>
        <v>1260000</v>
      </c>
      <c r="M52" s="34">
        <v>391</v>
      </c>
      <c r="N52" s="33">
        <f t="shared" si="91"/>
        <v>1808.5911299942702</v>
      </c>
      <c r="O52" s="33">
        <f t="shared" si="92"/>
        <v>707159.13182775967</v>
      </c>
      <c r="P52" s="137">
        <f t="shared" si="93"/>
        <v>408</v>
      </c>
      <c r="Q52" s="34">
        <f t="shared" si="95"/>
        <v>1808.5911299942702</v>
      </c>
      <c r="R52" s="33">
        <f t="shared" si="96"/>
        <v>737905.1810376622</v>
      </c>
      <c r="S52" s="36">
        <v>47283</v>
      </c>
      <c r="T52" s="34">
        <v>4250</v>
      </c>
      <c r="U52" s="34">
        <v>756.70411764705887</v>
      </c>
      <c r="V52" s="34">
        <v>3215992.5</v>
      </c>
      <c r="W52" s="34">
        <v>4358</v>
      </c>
      <c r="X52" s="34">
        <v>642.35117183610896</v>
      </c>
      <c r="Y52" s="34">
        <v>2799366.406861763</v>
      </c>
      <c r="Z52" s="34">
        <v>500</v>
      </c>
      <c r="AA52" s="33">
        <v>608.50528929904135</v>
      </c>
      <c r="AB52" s="34">
        <f t="shared" si="94"/>
        <v>304252.64464952069</v>
      </c>
      <c r="AC52" s="33">
        <v>516</v>
      </c>
      <c r="AD52" s="33">
        <v>622.63389127795563</v>
      </c>
      <c r="AE52" s="33">
        <v>321279.08789942513</v>
      </c>
      <c r="AF52" s="65">
        <f t="shared" si="21"/>
        <v>4250</v>
      </c>
      <c r="AG52" s="33">
        <f t="shared" si="18"/>
        <v>756.70411764705887</v>
      </c>
      <c r="AH52" s="65">
        <f t="shared" si="52"/>
        <v>3215992.5</v>
      </c>
      <c r="AI52" s="33">
        <v>600</v>
      </c>
      <c r="AJ52" s="33">
        <v>622.65</v>
      </c>
      <c r="AK52" s="33">
        <v>373590</v>
      </c>
      <c r="AL52" s="33"/>
      <c r="AM52" s="33"/>
      <c r="AN52" s="33"/>
      <c r="AO52" s="33">
        <v>500</v>
      </c>
      <c r="AP52" s="33">
        <v>622.65</v>
      </c>
      <c r="AQ52" s="33">
        <v>311325</v>
      </c>
      <c r="AR52" s="33">
        <v>300</v>
      </c>
      <c r="AS52" s="33">
        <v>622.65</v>
      </c>
      <c r="AT52" s="33">
        <v>186795</v>
      </c>
      <c r="AU52" s="33">
        <v>400</v>
      </c>
      <c r="AV52" s="33">
        <v>225.75</v>
      </c>
      <c r="AW52" s="33">
        <v>90300</v>
      </c>
      <c r="AX52" s="33">
        <v>500</v>
      </c>
      <c r="AY52" s="33">
        <v>378</v>
      </c>
      <c r="AZ52" s="33">
        <v>189000</v>
      </c>
      <c r="BA52" s="33">
        <v>400</v>
      </c>
      <c r="BB52" s="33">
        <v>378</v>
      </c>
      <c r="BC52" s="33">
        <v>151200</v>
      </c>
      <c r="BD52" s="33">
        <v>250</v>
      </c>
      <c r="BE52" s="33">
        <v>622.65</v>
      </c>
      <c r="BF52" s="33">
        <v>155662.5</v>
      </c>
      <c r="BG52" s="33">
        <v>400</v>
      </c>
      <c r="BH52" s="33">
        <v>622.65</v>
      </c>
      <c r="BI52" s="33">
        <v>249060</v>
      </c>
      <c r="BJ52" s="33">
        <v>400</v>
      </c>
      <c r="BK52" s="33">
        <v>622.65</v>
      </c>
      <c r="BL52" s="33">
        <v>249060</v>
      </c>
      <c r="BM52" s="33">
        <v>500</v>
      </c>
      <c r="BN52" s="33">
        <v>2520</v>
      </c>
      <c r="BO52" s="33">
        <v>1260000</v>
      </c>
      <c r="BP52" s="33"/>
      <c r="BQ52" s="33"/>
      <c r="BR52" s="33"/>
      <c r="BT52" s="65">
        <f>SUMIF($BW$6:$DF$6,$BT$6,BW52:DF52)</f>
        <v>4358</v>
      </c>
      <c r="BU52" s="33">
        <f t="shared" si="20"/>
        <v>642.35117183610896</v>
      </c>
      <c r="BV52" s="65">
        <f t="shared" si="22"/>
        <v>2799366.406861763</v>
      </c>
      <c r="BW52" s="33">
        <v>579</v>
      </c>
      <c r="BX52" s="33">
        <v>622.64255188120524</v>
      </c>
      <c r="BY52" s="33">
        <v>360510.03753921785</v>
      </c>
      <c r="BZ52" s="33">
        <v>488</v>
      </c>
      <c r="CA52" s="33">
        <v>622.64255188120524</v>
      </c>
      <c r="CB52" s="33">
        <v>303849.56531802815</v>
      </c>
      <c r="CC52" s="33">
        <v>320</v>
      </c>
      <c r="CD52" s="33">
        <v>622.64933523165587</v>
      </c>
      <c r="CE52" s="33">
        <v>199247.78727412986</v>
      </c>
      <c r="CF52" s="33">
        <v>356</v>
      </c>
      <c r="CG52" s="33">
        <v>622.64971222693612</v>
      </c>
      <c r="CH52" s="33">
        <v>221663.29755278927</v>
      </c>
      <c r="CI52" s="33">
        <v>367</v>
      </c>
      <c r="CJ52" s="33">
        <v>345.58185028841172</v>
      </c>
      <c r="CK52" s="33">
        <v>126828.5390558471</v>
      </c>
      <c r="CL52" s="33">
        <v>375</v>
      </c>
      <c r="CM52" s="33">
        <v>368.54087982919663</v>
      </c>
      <c r="CN52" s="33">
        <v>138202.82993594874</v>
      </c>
      <c r="CO52" s="33">
        <v>395</v>
      </c>
      <c r="CP52" s="33">
        <v>373.71686897874702</v>
      </c>
      <c r="CQ52" s="33">
        <v>147618.16324660508</v>
      </c>
      <c r="CR52" s="33">
        <v>542</v>
      </c>
      <c r="CS52" s="33">
        <v>479.91701019941803</v>
      </c>
      <c r="CT52" s="33">
        <v>260115.01952808458</v>
      </c>
      <c r="CU52" s="33">
        <v>302</v>
      </c>
      <c r="CV52" s="33">
        <v>608.50528929904135</v>
      </c>
      <c r="CW52" s="33">
        <v>183768.5973683105</v>
      </c>
      <c r="CX52" s="33">
        <v>243</v>
      </c>
      <c r="CY52" s="33">
        <v>618.94419018535768</v>
      </c>
      <c r="CZ52" s="33">
        <v>150403.43821504191</v>
      </c>
      <c r="DA52" s="33">
        <v>391</v>
      </c>
      <c r="DB52" s="33">
        <v>1808.5911299942702</v>
      </c>
      <c r="DC52" s="33">
        <v>707159.13182775967</v>
      </c>
      <c r="DD52" s="33"/>
      <c r="DE52" s="33"/>
      <c r="DF52" s="66"/>
    </row>
    <row r="53" spans="1:110" ht="24.95" customHeight="1">
      <c r="A53" s="58">
        <v>38</v>
      </c>
      <c r="B53" s="84" t="s">
        <v>140</v>
      </c>
      <c r="C53" s="60" t="s">
        <v>50</v>
      </c>
      <c r="D53" s="75" t="s">
        <v>141</v>
      </c>
      <c r="E53" s="70" t="s">
        <v>71</v>
      </c>
      <c r="F53" s="60" t="s">
        <v>111</v>
      </c>
      <c r="G53" s="64">
        <v>104</v>
      </c>
      <c r="H53" s="76">
        <v>306.9024968548685</v>
      </c>
      <c r="I53" s="76">
        <v>31917.859672906325</v>
      </c>
      <c r="J53" s="33">
        <v>200</v>
      </c>
      <c r="K53" s="33">
        <v>269.99700000000001</v>
      </c>
      <c r="L53" s="33">
        <f t="shared" si="90"/>
        <v>53999.4</v>
      </c>
      <c r="M53" s="34">
        <v>203</v>
      </c>
      <c r="N53" s="33">
        <f t="shared" si="91"/>
        <v>282.62256471350764</v>
      </c>
      <c r="O53" s="33">
        <f t="shared" si="92"/>
        <v>57372.380636842048</v>
      </c>
      <c r="P53" s="137">
        <f t="shared" si="93"/>
        <v>101</v>
      </c>
      <c r="Q53" s="34">
        <f t="shared" si="95"/>
        <v>282.62256471350764</v>
      </c>
      <c r="R53" s="33">
        <f t="shared" si="96"/>
        <v>28544.879036064271</v>
      </c>
      <c r="S53" s="36">
        <v>46958</v>
      </c>
      <c r="T53" s="34">
        <v>2300</v>
      </c>
      <c r="U53" s="34">
        <v>287.60550000000001</v>
      </c>
      <c r="V53" s="34">
        <v>661492.65</v>
      </c>
      <c r="W53" s="34">
        <v>2515</v>
      </c>
      <c r="X53" s="34">
        <v>285.59313863953315</v>
      </c>
      <c r="Y53" s="34">
        <v>718266.7436784259</v>
      </c>
      <c r="Z53" s="34">
        <v>200</v>
      </c>
      <c r="AA53" s="33">
        <v>365.95969182265821</v>
      </c>
      <c r="AB53" s="34">
        <f t="shared" si="94"/>
        <v>73191.938364531641</v>
      </c>
      <c r="AC53" s="33">
        <v>316</v>
      </c>
      <c r="AD53" s="33">
        <v>269.99674909648814</v>
      </c>
      <c r="AE53" s="33">
        <v>85318.972714490257</v>
      </c>
      <c r="AF53" s="65">
        <f t="shared" si="21"/>
        <v>2300</v>
      </c>
      <c r="AG53" s="33">
        <f t="shared" si="18"/>
        <v>287.60550000000001</v>
      </c>
      <c r="AH53" s="65">
        <f t="shared" si="52"/>
        <v>661492.65</v>
      </c>
      <c r="AI53" s="33">
        <v>400</v>
      </c>
      <c r="AJ53" s="33">
        <v>269.99700000000001</v>
      </c>
      <c r="AK53" s="33">
        <v>107998.8</v>
      </c>
      <c r="AL53" s="33"/>
      <c r="AM53" s="33"/>
      <c r="AN53" s="33"/>
      <c r="AO53" s="33">
        <v>300</v>
      </c>
      <c r="AP53" s="33">
        <v>269.99700000000001</v>
      </c>
      <c r="AQ53" s="33">
        <v>80999.100000000006</v>
      </c>
      <c r="AR53" s="33">
        <v>300</v>
      </c>
      <c r="AS53" s="33">
        <v>269.99700000000001</v>
      </c>
      <c r="AT53" s="33">
        <v>80999.100000000006</v>
      </c>
      <c r="AU53" s="33">
        <v>200</v>
      </c>
      <c r="AV53" s="33">
        <v>269.99700000000001</v>
      </c>
      <c r="AW53" s="33">
        <v>53999.4</v>
      </c>
      <c r="AX53" s="33">
        <v>200</v>
      </c>
      <c r="AY53" s="33">
        <v>269.99700000000001</v>
      </c>
      <c r="AZ53" s="33">
        <v>53999.4</v>
      </c>
      <c r="BA53" s="33">
        <v>200</v>
      </c>
      <c r="BB53" s="33">
        <v>269.99700000000001</v>
      </c>
      <c r="BC53" s="33">
        <v>53999.4</v>
      </c>
      <c r="BD53" s="33">
        <v>200</v>
      </c>
      <c r="BE53" s="33">
        <v>472.5</v>
      </c>
      <c r="BF53" s="33">
        <v>94500</v>
      </c>
      <c r="BG53" s="33">
        <v>100</v>
      </c>
      <c r="BH53" s="33">
        <v>269.99700000000001</v>
      </c>
      <c r="BI53" s="33">
        <v>26999.7</v>
      </c>
      <c r="BJ53" s="33">
        <v>200</v>
      </c>
      <c r="BK53" s="33">
        <v>269.99174999999997</v>
      </c>
      <c r="BL53" s="33">
        <v>53998.349999999991</v>
      </c>
      <c r="BM53" s="33">
        <v>200</v>
      </c>
      <c r="BN53" s="33">
        <v>269.99700000000001</v>
      </c>
      <c r="BO53" s="33">
        <v>53999.4</v>
      </c>
      <c r="BP53" s="33"/>
      <c r="BQ53" s="33"/>
      <c r="BR53" s="33"/>
      <c r="BT53" s="65">
        <f>SUMIF($BW$6:$DF$6,$BT$6,BW53:DF53)</f>
        <v>2515</v>
      </c>
      <c r="BU53" s="33">
        <f t="shared" si="20"/>
        <v>285.59313863953315</v>
      </c>
      <c r="BV53" s="65">
        <f t="shared" si="22"/>
        <v>718266.7436784259</v>
      </c>
      <c r="BW53" s="33">
        <v>336</v>
      </c>
      <c r="BX53" s="33">
        <v>269.99688926604784</v>
      </c>
      <c r="BY53" s="33">
        <v>90718.954793392069</v>
      </c>
      <c r="BZ53" s="33">
        <v>299</v>
      </c>
      <c r="CA53" s="33">
        <v>269.99688926604784</v>
      </c>
      <c r="CB53" s="33">
        <v>80729.0698905483</v>
      </c>
      <c r="CC53" s="33">
        <v>175</v>
      </c>
      <c r="CD53" s="33">
        <v>269.99697645813615</v>
      </c>
      <c r="CE53" s="33">
        <v>47249.470880173823</v>
      </c>
      <c r="CF53" s="33">
        <v>303</v>
      </c>
      <c r="CG53" s="33">
        <v>269.99699041576292</v>
      </c>
      <c r="CH53" s="33">
        <v>81809.088095976171</v>
      </c>
      <c r="CI53" s="33">
        <v>285</v>
      </c>
      <c r="CJ53" s="33">
        <v>269.99699517220813</v>
      </c>
      <c r="CK53" s="33">
        <v>76949.143624079312</v>
      </c>
      <c r="CL53" s="33">
        <v>214</v>
      </c>
      <c r="CM53" s="33">
        <v>269.99699820855523</v>
      </c>
      <c r="CN53" s="33">
        <v>57779.357616630819</v>
      </c>
      <c r="CO53" s="33">
        <v>205</v>
      </c>
      <c r="CP53" s="33">
        <v>269.99699938713735</v>
      </c>
      <c r="CQ53" s="33">
        <v>55349.384874363153</v>
      </c>
      <c r="CR53" s="33">
        <v>56</v>
      </c>
      <c r="CS53" s="33">
        <v>405.45051150276453</v>
      </c>
      <c r="CT53" s="33">
        <v>22705.228644154813</v>
      </c>
      <c r="CU53" s="33">
        <v>218</v>
      </c>
      <c r="CV53" s="33">
        <v>365.95969182265821</v>
      </c>
      <c r="CW53" s="33">
        <v>79779.212817339489</v>
      </c>
      <c r="CX53" s="33">
        <v>221</v>
      </c>
      <c r="CY53" s="33">
        <v>306.9024968548685</v>
      </c>
      <c r="CZ53" s="33">
        <v>67825.451804925935</v>
      </c>
      <c r="DA53" s="33">
        <v>203</v>
      </c>
      <c r="DB53" s="33">
        <v>282.62256471350764</v>
      </c>
      <c r="DC53" s="33">
        <v>57372.380636842048</v>
      </c>
      <c r="DD53" s="33"/>
      <c r="DE53" s="33"/>
      <c r="DF53" s="66"/>
    </row>
    <row r="54" spans="1:110" ht="24.95" customHeight="1">
      <c r="A54" s="58">
        <v>39</v>
      </c>
      <c r="B54" s="86" t="s">
        <v>142</v>
      </c>
      <c r="C54" s="60" t="s">
        <v>50</v>
      </c>
      <c r="D54" s="75" t="s">
        <v>73</v>
      </c>
      <c r="E54" s="70" t="s">
        <v>93</v>
      </c>
      <c r="F54" s="60" t="s">
        <v>111</v>
      </c>
      <c r="G54" s="64">
        <v>1329</v>
      </c>
      <c r="H54" s="76">
        <v>452.5499995720109</v>
      </c>
      <c r="I54" s="76">
        <v>601438.94943120249</v>
      </c>
      <c r="J54" s="33">
        <v>2000</v>
      </c>
      <c r="K54" s="33">
        <v>452.55</v>
      </c>
      <c r="L54" s="33">
        <f t="shared" si="90"/>
        <v>905100</v>
      </c>
      <c r="M54" s="34">
        <v>2047</v>
      </c>
      <c r="N54" s="33">
        <f t="shared" si="91"/>
        <v>452.54999982913859</v>
      </c>
      <c r="O54" s="33">
        <f t="shared" si="92"/>
        <v>926369.84965024667</v>
      </c>
      <c r="P54" s="137">
        <f t="shared" si="93"/>
        <v>1282</v>
      </c>
      <c r="Q54" s="34">
        <f t="shared" si="95"/>
        <v>452.54999982913859</v>
      </c>
      <c r="R54" s="33">
        <f t="shared" si="96"/>
        <v>580169.0997809557</v>
      </c>
      <c r="S54" s="36">
        <v>46920</v>
      </c>
      <c r="T54" s="34">
        <v>18400</v>
      </c>
      <c r="U54" s="34">
        <v>452.55</v>
      </c>
      <c r="V54" s="34">
        <v>8326920</v>
      </c>
      <c r="W54" s="34">
        <v>18038</v>
      </c>
      <c r="X54" s="34">
        <v>452.54968451476554</v>
      </c>
      <c r="Y54" s="34">
        <v>8163091.2092773411</v>
      </c>
      <c r="Z54" s="34">
        <v>2000</v>
      </c>
      <c r="AA54" s="33">
        <v>452.54999880224648</v>
      </c>
      <c r="AB54" s="34">
        <f t="shared" si="94"/>
        <v>905099.99760449294</v>
      </c>
      <c r="AC54" s="33">
        <v>920</v>
      </c>
      <c r="AD54" s="33">
        <v>452.54381419380002</v>
      </c>
      <c r="AE54" s="33">
        <v>416340.30905829603</v>
      </c>
      <c r="AF54" s="65">
        <f t="shared" si="21"/>
        <v>18400</v>
      </c>
      <c r="AG54" s="33">
        <f t="shared" si="18"/>
        <v>452.55</v>
      </c>
      <c r="AH54" s="65">
        <f t="shared" si="52"/>
        <v>8326920</v>
      </c>
      <c r="AI54" s="33">
        <v>1900</v>
      </c>
      <c r="AJ54" s="33">
        <v>452.55</v>
      </c>
      <c r="AK54" s="33">
        <v>859845</v>
      </c>
      <c r="AL54" s="33"/>
      <c r="AM54" s="33"/>
      <c r="AN54" s="33"/>
      <c r="AO54" s="33">
        <v>2200</v>
      </c>
      <c r="AP54" s="33">
        <v>452.55</v>
      </c>
      <c r="AQ54" s="33">
        <v>995610</v>
      </c>
      <c r="AR54" s="33">
        <v>1600</v>
      </c>
      <c r="AS54" s="33">
        <v>452.55</v>
      </c>
      <c r="AT54" s="33">
        <v>724080</v>
      </c>
      <c r="AU54" s="33">
        <v>1600</v>
      </c>
      <c r="AV54" s="33">
        <v>452.55</v>
      </c>
      <c r="AW54" s="33">
        <v>724080</v>
      </c>
      <c r="AX54" s="33">
        <v>1800</v>
      </c>
      <c r="AY54" s="33">
        <v>452.55</v>
      </c>
      <c r="AZ54" s="33">
        <v>814590</v>
      </c>
      <c r="BA54" s="33">
        <v>1800</v>
      </c>
      <c r="BB54" s="33">
        <v>452.55</v>
      </c>
      <c r="BC54" s="33">
        <v>814590</v>
      </c>
      <c r="BD54" s="33">
        <v>1500</v>
      </c>
      <c r="BE54" s="33">
        <v>452.55</v>
      </c>
      <c r="BF54" s="33">
        <v>678825</v>
      </c>
      <c r="BG54" s="33">
        <v>2000</v>
      </c>
      <c r="BH54" s="33">
        <v>452.55</v>
      </c>
      <c r="BI54" s="33">
        <v>905100</v>
      </c>
      <c r="BJ54" s="33">
        <v>2000</v>
      </c>
      <c r="BK54" s="33">
        <v>452.55</v>
      </c>
      <c r="BL54" s="33">
        <v>905100</v>
      </c>
      <c r="BM54" s="33">
        <v>2000</v>
      </c>
      <c r="BN54" s="33">
        <v>452.55</v>
      </c>
      <c r="BO54" s="33">
        <v>905100</v>
      </c>
      <c r="BP54" s="33"/>
      <c r="BQ54" s="33"/>
      <c r="BR54" s="33"/>
      <c r="BT54" s="65">
        <f t="shared" si="53"/>
        <v>18038</v>
      </c>
      <c r="BU54" s="33">
        <f t="shared" si="20"/>
        <v>452.54968451476554</v>
      </c>
      <c r="BV54" s="65">
        <f t="shared" si="22"/>
        <v>8163091.2092773411</v>
      </c>
      <c r="BW54" s="33">
        <v>1099</v>
      </c>
      <c r="BX54" s="33">
        <v>452.54798193556599</v>
      </c>
      <c r="BY54" s="33">
        <v>497350.23214718699</v>
      </c>
      <c r="BZ54" s="33">
        <v>1271</v>
      </c>
      <c r="CA54" s="33">
        <v>452.54798193556599</v>
      </c>
      <c r="CB54" s="33">
        <v>575188.48504010437</v>
      </c>
      <c r="CC54" s="33">
        <v>1346</v>
      </c>
      <c r="CD54" s="33">
        <v>452.54965730981314</v>
      </c>
      <c r="CE54" s="33">
        <v>609131.83873900853</v>
      </c>
      <c r="CF54" s="33">
        <v>1481</v>
      </c>
      <c r="CG54" s="33">
        <v>452.54984611983349</v>
      </c>
      <c r="CH54" s="33">
        <v>670226.32210347336</v>
      </c>
      <c r="CI54" s="33">
        <v>1825</v>
      </c>
      <c r="CJ54" s="33">
        <v>452.54992756484387</v>
      </c>
      <c r="CK54" s="33">
        <v>825903.6178058401</v>
      </c>
      <c r="CL54" s="33">
        <v>1793</v>
      </c>
      <c r="CM54" s="33">
        <v>452.54997105493095</v>
      </c>
      <c r="CN54" s="33">
        <v>811422.09810149122</v>
      </c>
      <c r="CO54" s="33">
        <v>1884</v>
      </c>
      <c r="CP54" s="33">
        <v>452.54998839307552</v>
      </c>
      <c r="CQ54" s="33">
        <v>852604.17813255428</v>
      </c>
      <c r="CR54" s="33">
        <v>1985</v>
      </c>
      <c r="CS54" s="33">
        <v>452.54999503572594</v>
      </c>
      <c r="CT54" s="33">
        <v>898311.740145916</v>
      </c>
      <c r="CU54" s="33">
        <v>1524</v>
      </c>
      <c r="CV54" s="33">
        <v>452.54999880224648</v>
      </c>
      <c r="CW54" s="33">
        <v>689686.19817462366</v>
      </c>
      <c r="CX54" s="33">
        <v>1783</v>
      </c>
      <c r="CY54" s="33">
        <v>452.5499995720109</v>
      </c>
      <c r="CZ54" s="33">
        <v>806896.64923689549</v>
      </c>
      <c r="DA54" s="33">
        <v>2047</v>
      </c>
      <c r="DB54" s="33">
        <v>452.54999982913859</v>
      </c>
      <c r="DC54" s="33">
        <v>926369.84965024667</v>
      </c>
      <c r="DD54" s="33"/>
      <c r="DE54" s="33"/>
      <c r="DF54" s="66"/>
    </row>
    <row r="55" spans="1:110" ht="24.95" customHeight="1">
      <c r="A55" s="58">
        <v>40</v>
      </c>
      <c r="B55" s="86" t="s">
        <v>143</v>
      </c>
      <c r="C55" s="60" t="s">
        <v>50</v>
      </c>
      <c r="D55" s="75" t="s">
        <v>55</v>
      </c>
      <c r="E55" s="70" t="s">
        <v>153</v>
      </c>
      <c r="F55" s="60" t="s">
        <v>111</v>
      </c>
      <c r="G55" s="64">
        <v>140</v>
      </c>
      <c r="H55" s="76">
        <v>1942.5</v>
      </c>
      <c r="I55" s="76">
        <v>271950</v>
      </c>
      <c r="J55" s="33">
        <v>100</v>
      </c>
      <c r="K55" s="33">
        <v>1942.5</v>
      </c>
      <c r="L55" s="33">
        <f t="shared" si="90"/>
        <v>194250</v>
      </c>
      <c r="M55" s="34">
        <v>186</v>
      </c>
      <c r="N55" s="33">
        <f t="shared" si="91"/>
        <v>1942.5</v>
      </c>
      <c r="O55" s="33">
        <f t="shared" si="92"/>
        <v>361305</v>
      </c>
      <c r="P55" s="137">
        <f t="shared" si="93"/>
        <v>54</v>
      </c>
      <c r="Q55" s="34">
        <f t="shared" si="95"/>
        <v>1942.5</v>
      </c>
      <c r="R55" s="33">
        <f t="shared" si="96"/>
        <v>104895</v>
      </c>
      <c r="S55" s="36">
        <v>46606</v>
      </c>
      <c r="T55" s="34">
        <v>1900</v>
      </c>
      <c r="U55" s="34">
        <v>1820.921052631579</v>
      </c>
      <c r="V55" s="34">
        <v>3459750</v>
      </c>
      <c r="W55" s="34">
        <v>1846</v>
      </c>
      <c r="X55" s="34">
        <v>1817.3645720476707</v>
      </c>
      <c r="Y55" s="34">
        <v>3354855</v>
      </c>
      <c r="Z55" s="34">
        <v>100</v>
      </c>
      <c r="AA55" s="33">
        <v>1942.5</v>
      </c>
      <c r="AB55" s="34">
        <f t="shared" si="94"/>
        <v>194250</v>
      </c>
      <c r="AC55" s="33"/>
      <c r="AD55" s="33"/>
      <c r="AE55" s="33"/>
      <c r="AF55" s="65">
        <f t="shared" si="21"/>
        <v>1900</v>
      </c>
      <c r="AG55" s="33">
        <f t="shared" si="18"/>
        <v>1820.921052631579</v>
      </c>
      <c r="AH55" s="65">
        <f t="shared" si="52"/>
        <v>3459750</v>
      </c>
      <c r="AI55" s="33">
        <v>500</v>
      </c>
      <c r="AJ55" s="33">
        <v>1942.5</v>
      </c>
      <c r="AK55" s="33">
        <v>971250</v>
      </c>
      <c r="AL55" s="33"/>
      <c r="AM55" s="33"/>
      <c r="AN55" s="33"/>
      <c r="AO55" s="33">
        <v>300</v>
      </c>
      <c r="AP55" s="33">
        <v>1942.5</v>
      </c>
      <c r="AQ55" s="33">
        <v>582750</v>
      </c>
      <c r="AR55" s="33">
        <v>200</v>
      </c>
      <c r="AS55" s="33">
        <v>787.5</v>
      </c>
      <c r="AT55" s="33">
        <v>157500</v>
      </c>
      <c r="AU55" s="33"/>
      <c r="AV55" s="33">
        <v>0</v>
      </c>
      <c r="AW55" s="33">
        <v>0</v>
      </c>
      <c r="AX55" s="33">
        <v>200</v>
      </c>
      <c r="AY55" s="33">
        <v>1942.5</v>
      </c>
      <c r="AZ55" s="33">
        <v>388500</v>
      </c>
      <c r="BA55" s="33">
        <v>200</v>
      </c>
      <c r="BB55" s="33">
        <v>1942.5</v>
      </c>
      <c r="BC55" s="33">
        <v>388500</v>
      </c>
      <c r="BD55" s="33">
        <v>200</v>
      </c>
      <c r="BE55" s="33">
        <v>1942.5</v>
      </c>
      <c r="BF55" s="33">
        <v>388500</v>
      </c>
      <c r="BG55" s="33">
        <v>100</v>
      </c>
      <c r="BH55" s="33">
        <v>1942.5</v>
      </c>
      <c r="BI55" s="33">
        <v>194250</v>
      </c>
      <c r="BJ55" s="33">
        <v>100</v>
      </c>
      <c r="BK55" s="33">
        <v>1942.5</v>
      </c>
      <c r="BL55" s="33">
        <v>194250</v>
      </c>
      <c r="BM55" s="33">
        <v>100</v>
      </c>
      <c r="BN55" s="33">
        <v>1942.5</v>
      </c>
      <c r="BO55" s="33">
        <v>194250</v>
      </c>
      <c r="BP55" s="33"/>
      <c r="BQ55" s="33"/>
      <c r="BR55" s="33"/>
      <c r="BT55" s="65">
        <f>SUMIF($BW$6:$DF$6,$BT$6,BW55:DF55)</f>
        <v>1846</v>
      </c>
      <c r="BU55" s="33">
        <f t="shared" si="20"/>
        <v>1817.3645720476707</v>
      </c>
      <c r="BV55" s="65">
        <f t="shared" si="22"/>
        <v>3354855</v>
      </c>
      <c r="BW55" s="33">
        <v>264</v>
      </c>
      <c r="BX55" s="33">
        <v>1942.5</v>
      </c>
      <c r="BY55" s="33">
        <v>512820</v>
      </c>
      <c r="BZ55" s="33">
        <v>197</v>
      </c>
      <c r="CA55" s="33">
        <v>1942.5</v>
      </c>
      <c r="CB55" s="33">
        <v>382672.5</v>
      </c>
      <c r="CC55" s="33">
        <v>205</v>
      </c>
      <c r="CD55" s="33">
        <v>1942.5</v>
      </c>
      <c r="CE55" s="33">
        <v>398212.5</v>
      </c>
      <c r="CF55" s="33">
        <v>178</v>
      </c>
      <c r="CG55" s="33">
        <v>1250.8832335329341</v>
      </c>
      <c r="CH55" s="33">
        <v>222657.21556886227</v>
      </c>
      <c r="CI55" s="33">
        <v>156</v>
      </c>
      <c r="CJ55" s="33">
        <v>1250.8832335329341</v>
      </c>
      <c r="CK55" s="33">
        <v>195137.78443113773</v>
      </c>
      <c r="CL55" s="33">
        <v>74</v>
      </c>
      <c r="CM55" s="33">
        <v>1942.5</v>
      </c>
      <c r="CN55" s="33">
        <v>143745</v>
      </c>
      <c r="CO55" s="33">
        <v>103</v>
      </c>
      <c r="CP55" s="33">
        <v>1942.5</v>
      </c>
      <c r="CQ55" s="33">
        <v>200077.5</v>
      </c>
      <c r="CR55" s="33">
        <v>65</v>
      </c>
      <c r="CS55" s="33">
        <v>1942.5</v>
      </c>
      <c r="CT55" s="33">
        <v>126262.5</v>
      </c>
      <c r="CU55" s="33">
        <v>204</v>
      </c>
      <c r="CV55" s="33">
        <v>1942.5</v>
      </c>
      <c r="CW55" s="33">
        <v>396270</v>
      </c>
      <c r="CX55" s="33">
        <v>214</v>
      </c>
      <c r="CY55" s="33">
        <v>1942.5</v>
      </c>
      <c r="CZ55" s="33">
        <v>415695</v>
      </c>
      <c r="DA55" s="33">
        <v>186</v>
      </c>
      <c r="DB55" s="33">
        <v>1942.5</v>
      </c>
      <c r="DC55" s="33">
        <v>361305</v>
      </c>
      <c r="DD55" s="33"/>
      <c r="DE55" s="33"/>
      <c r="DF55" s="66"/>
    </row>
    <row r="56" spans="1:110" ht="24.95" customHeight="1">
      <c r="A56" s="58">
        <v>41</v>
      </c>
      <c r="B56" s="77" t="s">
        <v>147</v>
      </c>
      <c r="C56" s="60" t="s">
        <v>50</v>
      </c>
      <c r="D56" s="75" t="s">
        <v>148</v>
      </c>
      <c r="E56" s="70" t="s">
        <v>153</v>
      </c>
      <c r="F56" s="60" t="s">
        <v>151</v>
      </c>
      <c r="G56" s="64">
        <v>0</v>
      </c>
      <c r="H56" s="76">
        <v>0</v>
      </c>
      <c r="I56" s="76">
        <v>0</v>
      </c>
      <c r="J56" s="33"/>
      <c r="K56" s="33">
        <v>0</v>
      </c>
      <c r="L56" s="33">
        <f t="shared" si="90"/>
        <v>0</v>
      </c>
      <c r="M56" s="34"/>
      <c r="N56" s="33">
        <f t="shared" si="91"/>
        <v>0</v>
      </c>
      <c r="O56" s="33">
        <f t="shared" si="92"/>
        <v>0</v>
      </c>
      <c r="P56" s="137">
        <f t="shared" si="93"/>
        <v>0</v>
      </c>
      <c r="Q56" s="34">
        <f t="shared" si="95"/>
        <v>0</v>
      </c>
      <c r="R56" s="33">
        <f t="shared" si="96"/>
        <v>0</v>
      </c>
      <c r="S56" s="36">
        <v>46564</v>
      </c>
      <c r="T56" s="34">
        <v>200</v>
      </c>
      <c r="U56" s="34">
        <v>1984.5</v>
      </c>
      <c r="V56" s="34">
        <v>396900</v>
      </c>
      <c r="W56" s="34">
        <v>520</v>
      </c>
      <c r="X56" s="34">
        <v>1984.5</v>
      </c>
      <c r="Y56" s="34">
        <v>1031940</v>
      </c>
      <c r="Z56" s="34"/>
      <c r="AA56" s="33">
        <v>0</v>
      </c>
      <c r="AB56" s="34">
        <f t="shared" si="94"/>
        <v>0</v>
      </c>
      <c r="AC56" s="33">
        <v>320</v>
      </c>
      <c r="AD56" s="33">
        <v>1984.5</v>
      </c>
      <c r="AE56" s="33">
        <v>635040</v>
      </c>
      <c r="AF56" s="65">
        <f t="shared" si="21"/>
        <v>200</v>
      </c>
      <c r="AG56" s="33">
        <f t="shared" si="18"/>
        <v>1984.5</v>
      </c>
      <c r="AH56" s="65">
        <f t="shared" si="52"/>
        <v>396900</v>
      </c>
      <c r="AI56" s="33"/>
      <c r="AJ56" s="33">
        <v>0</v>
      </c>
      <c r="AK56" s="33">
        <v>0</v>
      </c>
      <c r="AL56" s="33"/>
      <c r="AM56" s="33"/>
      <c r="AN56" s="33"/>
      <c r="AO56" s="33"/>
      <c r="AP56" s="33"/>
      <c r="AQ56" s="33"/>
      <c r="AR56" s="33"/>
      <c r="AS56" s="33">
        <v>0</v>
      </c>
      <c r="AT56" s="33">
        <v>0</v>
      </c>
      <c r="AU56" s="33">
        <v>200</v>
      </c>
      <c r="AV56" s="33">
        <v>1984.5</v>
      </c>
      <c r="AW56" s="33">
        <v>396900</v>
      </c>
      <c r="AX56" s="33"/>
      <c r="AY56" s="33">
        <v>0</v>
      </c>
      <c r="AZ56" s="33">
        <v>0</v>
      </c>
      <c r="BA56" s="33"/>
      <c r="BB56" s="33">
        <v>0</v>
      </c>
      <c r="BC56" s="33">
        <v>0</v>
      </c>
      <c r="BD56" s="33"/>
      <c r="BE56" s="33"/>
      <c r="BF56" s="33">
        <v>0</v>
      </c>
      <c r="BG56" s="33"/>
      <c r="BH56" s="33"/>
      <c r="BI56" s="33">
        <v>0</v>
      </c>
      <c r="BJ56" s="33"/>
      <c r="BK56" s="33">
        <v>0</v>
      </c>
      <c r="BL56" s="33">
        <v>0</v>
      </c>
      <c r="BM56" s="33"/>
      <c r="BN56" s="33">
        <v>0</v>
      </c>
      <c r="BO56" s="33">
        <v>0</v>
      </c>
      <c r="BP56" s="33"/>
      <c r="BQ56" s="33"/>
      <c r="BR56" s="33"/>
      <c r="BT56" s="65">
        <f t="shared" si="53"/>
        <v>520</v>
      </c>
      <c r="BU56" s="33">
        <f t="shared" si="20"/>
        <v>1984.5</v>
      </c>
      <c r="BV56" s="65">
        <f t="shared" si="22"/>
        <v>1031940</v>
      </c>
      <c r="BW56" s="33">
        <v>240</v>
      </c>
      <c r="BX56" s="33">
        <v>1984.5</v>
      </c>
      <c r="BY56" s="33">
        <v>476280</v>
      </c>
      <c r="BZ56" s="33">
        <v>80</v>
      </c>
      <c r="CA56" s="33">
        <v>1984.5</v>
      </c>
      <c r="CB56" s="33">
        <v>158760</v>
      </c>
      <c r="CC56" s="33"/>
      <c r="CD56" s="33">
        <v>0</v>
      </c>
      <c r="CE56" s="33">
        <v>0</v>
      </c>
      <c r="CF56" s="33"/>
      <c r="CG56" s="33">
        <v>0</v>
      </c>
      <c r="CH56" s="33">
        <v>0</v>
      </c>
      <c r="CI56" s="33">
        <v>95</v>
      </c>
      <c r="CJ56" s="33">
        <v>1984.5</v>
      </c>
      <c r="CK56" s="33">
        <v>188527.5</v>
      </c>
      <c r="CL56" s="33">
        <v>105</v>
      </c>
      <c r="CM56" s="33">
        <v>1984.5</v>
      </c>
      <c r="CN56" s="33">
        <v>208372.5</v>
      </c>
      <c r="CO56" s="33"/>
      <c r="CP56" s="33">
        <v>0</v>
      </c>
      <c r="CQ56" s="33">
        <v>0</v>
      </c>
      <c r="CR56" s="33"/>
      <c r="CS56" s="33">
        <v>0</v>
      </c>
      <c r="CT56" s="33">
        <v>0</v>
      </c>
      <c r="CU56" s="33"/>
      <c r="CV56" s="33">
        <v>0</v>
      </c>
      <c r="CW56" s="33">
        <v>0</v>
      </c>
      <c r="CX56" s="33"/>
      <c r="CY56" s="33">
        <v>0</v>
      </c>
      <c r="CZ56" s="33">
        <v>0</v>
      </c>
      <c r="DA56" s="33"/>
      <c r="DB56" s="33">
        <v>0</v>
      </c>
      <c r="DC56" s="33">
        <v>0</v>
      </c>
      <c r="DD56" s="33"/>
      <c r="DE56" s="33"/>
      <c r="DF56" s="66"/>
    </row>
    <row r="57" spans="1:110" ht="24.95" customHeight="1">
      <c r="A57" s="58">
        <v>42</v>
      </c>
      <c r="B57" s="86" t="s">
        <v>144</v>
      </c>
      <c r="C57" s="60" t="s">
        <v>50</v>
      </c>
      <c r="D57" s="75" t="s">
        <v>149</v>
      </c>
      <c r="E57" s="70" t="s">
        <v>150</v>
      </c>
      <c r="F57" s="60" t="s">
        <v>151</v>
      </c>
      <c r="G57" s="64">
        <v>168</v>
      </c>
      <c r="H57" s="76">
        <v>5040</v>
      </c>
      <c r="I57" s="76">
        <v>846720</v>
      </c>
      <c r="J57" s="33">
        <v>200</v>
      </c>
      <c r="K57" s="33">
        <v>5040</v>
      </c>
      <c r="L57" s="33">
        <f t="shared" si="90"/>
        <v>1008000</v>
      </c>
      <c r="M57" s="34">
        <v>211</v>
      </c>
      <c r="N57" s="33">
        <f t="shared" si="91"/>
        <v>5040</v>
      </c>
      <c r="O57" s="33">
        <f t="shared" si="92"/>
        <v>1063440</v>
      </c>
      <c r="P57" s="137">
        <f t="shared" si="93"/>
        <v>157</v>
      </c>
      <c r="Q57" s="34">
        <f t="shared" si="95"/>
        <v>5040</v>
      </c>
      <c r="R57" s="33">
        <f t="shared" si="96"/>
        <v>791280</v>
      </c>
      <c r="S57" s="36">
        <v>46809</v>
      </c>
      <c r="T57" s="34">
        <v>1750</v>
      </c>
      <c r="U57" s="34">
        <v>5040</v>
      </c>
      <c r="V57" s="34">
        <v>8820000</v>
      </c>
      <c r="W57" s="34">
        <v>1608</v>
      </c>
      <c r="X57" s="34">
        <v>5040</v>
      </c>
      <c r="Y57" s="34">
        <v>8104320</v>
      </c>
      <c r="Z57" s="34">
        <v>150</v>
      </c>
      <c r="AA57" s="33">
        <v>5040</v>
      </c>
      <c r="AB57" s="34">
        <f t="shared" si="94"/>
        <v>756000</v>
      </c>
      <c r="AC57" s="33">
        <v>15</v>
      </c>
      <c r="AD57" s="33">
        <v>5040</v>
      </c>
      <c r="AE57" s="33">
        <v>75600</v>
      </c>
      <c r="AF57" s="65">
        <f t="shared" si="21"/>
        <v>1750</v>
      </c>
      <c r="AG57" s="33">
        <f t="shared" si="18"/>
        <v>5040</v>
      </c>
      <c r="AH57" s="65">
        <f t="shared" si="52"/>
        <v>8820000</v>
      </c>
      <c r="AI57" s="33">
        <v>100</v>
      </c>
      <c r="AJ57" s="33">
        <v>5040</v>
      </c>
      <c r="AK57" s="33">
        <v>504000</v>
      </c>
      <c r="AL57" s="33"/>
      <c r="AM57" s="33"/>
      <c r="AN57" s="33"/>
      <c r="AO57" s="33">
        <v>150</v>
      </c>
      <c r="AP57" s="33">
        <v>5040</v>
      </c>
      <c r="AQ57" s="33">
        <v>756000</v>
      </c>
      <c r="AR57" s="33">
        <v>200</v>
      </c>
      <c r="AS57" s="33">
        <v>5040</v>
      </c>
      <c r="AT57" s="33">
        <v>1008000</v>
      </c>
      <c r="AU57" s="33">
        <v>200</v>
      </c>
      <c r="AV57" s="33">
        <v>5040</v>
      </c>
      <c r="AW57" s="33">
        <v>1008000</v>
      </c>
      <c r="AX57" s="33">
        <v>200</v>
      </c>
      <c r="AY57" s="33">
        <v>5040</v>
      </c>
      <c r="AZ57" s="33">
        <v>1008000</v>
      </c>
      <c r="BA57" s="33">
        <v>200</v>
      </c>
      <c r="BB57" s="33">
        <v>5040</v>
      </c>
      <c r="BC57" s="33">
        <v>1008000</v>
      </c>
      <c r="BD57" s="33">
        <v>150</v>
      </c>
      <c r="BE57" s="33">
        <v>5040</v>
      </c>
      <c r="BF57" s="33">
        <v>756000</v>
      </c>
      <c r="BG57" s="33">
        <v>150</v>
      </c>
      <c r="BH57" s="33">
        <v>5040</v>
      </c>
      <c r="BI57" s="33">
        <v>756000</v>
      </c>
      <c r="BJ57" s="33">
        <v>200</v>
      </c>
      <c r="BK57" s="33">
        <v>5040</v>
      </c>
      <c r="BL57" s="33">
        <v>1008000</v>
      </c>
      <c r="BM57" s="33">
        <v>200</v>
      </c>
      <c r="BN57" s="33">
        <v>5040</v>
      </c>
      <c r="BO57" s="33">
        <v>1008000</v>
      </c>
      <c r="BP57" s="33"/>
      <c r="BQ57" s="33"/>
      <c r="BR57" s="33"/>
      <c r="BT57" s="65">
        <f t="shared" si="53"/>
        <v>1608</v>
      </c>
      <c r="BU57" s="33">
        <f t="shared" si="20"/>
        <v>5040</v>
      </c>
      <c r="BV57" s="65">
        <f t="shared" si="22"/>
        <v>8104320</v>
      </c>
      <c r="BW57" s="33">
        <v>84</v>
      </c>
      <c r="BX57" s="33">
        <v>5040</v>
      </c>
      <c r="BY57" s="33">
        <v>423360</v>
      </c>
      <c r="BZ57" s="33">
        <v>31</v>
      </c>
      <c r="CA57" s="33">
        <v>5040</v>
      </c>
      <c r="CB57" s="33">
        <v>156240</v>
      </c>
      <c r="CC57" s="33">
        <v>83</v>
      </c>
      <c r="CD57" s="33">
        <v>5040</v>
      </c>
      <c r="CE57" s="33">
        <v>418320</v>
      </c>
      <c r="CF57" s="33">
        <v>159</v>
      </c>
      <c r="CG57" s="33">
        <v>5040</v>
      </c>
      <c r="CH57" s="33">
        <v>801360</v>
      </c>
      <c r="CI57" s="33">
        <v>183</v>
      </c>
      <c r="CJ57" s="33">
        <v>5040</v>
      </c>
      <c r="CK57" s="33">
        <v>922320</v>
      </c>
      <c r="CL57" s="33">
        <v>163</v>
      </c>
      <c r="CM57" s="33">
        <v>5040</v>
      </c>
      <c r="CN57" s="33">
        <v>821520</v>
      </c>
      <c r="CO57" s="33">
        <v>178</v>
      </c>
      <c r="CP57" s="33">
        <v>5040</v>
      </c>
      <c r="CQ57" s="33">
        <v>897120</v>
      </c>
      <c r="CR57" s="33">
        <v>285</v>
      </c>
      <c r="CS57" s="33">
        <v>5040</v>
      </c>
      <c r="CT57" s="33">
        <v>1436400</v>
      </c>
      <c r="CU57" s="33">
        <v>86</v>
      </c>
      <c r="CV57" s="33">
        <v>5040</v>
      </c>
      <c r="CW57" s="33">
        <v>433440</v>
      </c>
      <c r="CX57" s="33">
        <v>145</v>
      </c>
      <c r="CY57" s="33">
        <v>5040</v>
      </c>
      <c r="CZ57" s="33">
        <v>730800</v>
      </c>
      <c r="DA57" s="33">
        <v>211</v>
      </c>
      <c r="DB57" s="33">
        <v>5040</v>
      </c>
      <c r="DC57" s="33">
        <v>1063440</v>
      </c>
      <c r="DD57" s="33"/>
      <c r="DE57" s="33"/>
      <c r="DF57" s="66"/>
    </row>
    <row r="58" spans="1:110" ht="24.95" customHeight="1">
      <c r="A58" s="58">
        <v>43</v>
      </c>
      <c r="B58" s="86" t="s">
        <v>145</v>
      </c>
      <c r="C58" s="60" t="s">
        <v>50</v>
      </c>
      <c r="D58" s="75" t="s">
        <v>155</v>
      </c>
      <c r="E58" s="70" t="s">
        <v>154</v>
      </c>
      <c r="F58" s="60" t="s">
        <v>151</v>
      </c>
      <c r="G58" s="64">
        <v>33</v>
      </c>
      <c r="H58" s="76">
        <v>827.4</v>
      </c>
      <c r="I58" s="76">
        <v>27304.2</v>
      </c>
      <c r="J58" s="33">
        <v>50</v>
      </c>
      <c r="K58" s="33">
        <v>827.4</v>
      </c>
      <c r="L58" s="33">
        <f t="shared" si="90"/>
        <v>41370</v>
      </c>
      <c r="M58" s="34">
        <v>39</v>
      </c>
      <c r="N58" s="33">
        <f t="shared" si="91"/>
        <v>827.4</v>
      </c>
      <c r="O58" s="33">
        <f t="shared" si="92"/>
        <v>32268.6</v>
      </c>
      <c r="P58" s="137">
        <f t="shared" si="93"/>
        <v>44</v>
      </c>
      <c r="Q58" s="34">
        <f t="shared" si="95"/>
        <v>827.4</v>
      </c>
      <c r="R58" s="33">
        <f t="shared" si="96"/>
        <v>36405.599999999999</v>
      </c>
      <c r="S58" s="36">
        <v>46936</v>
      </c>
      <c r="T58" s="34">
        <v>600</v>
      </c>
      <c r="U58" s="34">
        <v>827.4</v>
      </c>
      <c r="V58" s="34">
        <v>496440</v>
      </c>
      <c r="W58" s="34">
        <v>671</v>
      </c>
      <c r="X58" s="34">
        <v>827.39999999999986</v>
      </c>
      <c r="Y58" s="34">
        <v>555185.39999999991</v>
      </c>
      <c r="Z58" s="34">
        <v>50</v>
      </c>
      <c r="AA58" s="33">
        <v>827.39999999999986</v>
      </c>
      <c r="AB58" s="34">
        <f t="shared" si="94"/>
        <v>41369.999999999993</v>
      </c>
      <c r="AC58" s="33">
        <v>115</v>
      </c>
      <c r="AD58" s="33">
        <v>827.4</v>
      </c>
      <c r="AE58" s="33">
        <v>95151</v>
      </c>
      <c r="AF58" s="65">
        <f t="shared" si="21"/>
        <v>600</v>
      </c>
      <c r="AG58" s="33">
        <f t="shared" si="18"/>
        <v>827.4</v>
      </c>
      <c r="AH58" s="65">
        <f t="shared" si="52"/>
        <v>496440</v>
      </c>
      <c r="AI58" s="33">
        <v>300</v>
      </c>
      <c r="AJ58" s="33">
        <v>827.4</v>
      </c>
      <c r="AK58" s="33">
        <v>248220</v>
      </c>
      <c r="AL58" s="33"/>
      <c r="AM58" s="33"/>
      <c r="AN58" s="33"/>
      <c r="AO58" s="33">
        <v>100</v>
      </c>
      <c r="AP58" s="33">
        <v>827.4</v>
      </c>
      <c r="AQ58" s="33">
        <v>82740</v>
      </c>
      <c r="AR58" s="33"/>
      <c r="AS58" s="33">
        <v>0</v>
      </c>
      <c r="AT58" s="33">
        <v>0</v>
      </c>
      <c r="AU58" s="33">
        <v>100</v>
      </c>
      <c r="AV58" s="33">
        <v>827.4</v>
      </c>
      <c r="AW58" s="33">
        <v>82740</v>
      </c>
      <c r="AX58" s="33"/>
      <c r="AY58" s="33">
        <v>0</v>
      </c>
      <c r="AZ58" s="33">
        <v>0</v>
      </c>
      <c r="BA58" s="33"/>
      <c r="BB58" s="33">
        <v>0</v>
      </c>
      <c r="BC58" s="33">
        <v>0</v>
      </c>
      <c r="BD58" s="33"/>
      <c r="BE58" s="33"/>
      <c r="BF58" s="33">
        <v>0</v>
      </c>
      <c r="BG58" s="33"/>
      <c r="BH58" s="33"/>
      <c r="BI58" s="33">
        <v>0</v>
      </c>
      <c r="BJ58" s="33">
        <v>50</v>
      </c>
      <c r="BK58" s="33">
        <v>827.4</v>
      </c>
      <c r="BL58" s="33">
        <v>41370</v>
      </c>
      <c r="BM58" s="33">
        <v>50</v>
      </c>
      <c r="BN58" s="33">
        <v>827.4</v>
      </c>
      <c r="BO58" s="33">
        <v>41370</v>
      </c>
      <c r="BP58" s="33"/>
      <c r="BQ58" s="33"/>
      <c r="BR58" s="33"/>
      <c r="BT58" s="65">
        <f t="shared" si="53"/>
        <v>671</v>
      </c>
      <c r="BU58" s="33">
        <f t="shared" si="20"/>
        <v>827.39999999999986</v>
      </c>
      <c r="BV58" s="65">
        <f t="shared" si="22"/>
        <v>555185.39999999991</v>
      </c>
      <c r="BW58" s="33">
        <v>207</v>
      </c>
      <c r="BX58" s="33">
        <v>827.4</v>
      </c>
      <c r="BY58" s="33">
        <v>171271.8</v>
      </c>
      <c r="BZ58" s="33">
        <v>165</v>
      </c>
      <c r="CA58" s="33">
        <v>827.39999999999986</v>
      </c>
      <c r="CB58" s="33">
        <v>136520.99999999997</v>
      </c>
      <c r="CC58" s="33">
        <v>68</v>
      </c>
      <c r="CD58" s="33">
        <v>827.4</v>
      </c>
      <c r="CE58" s="33">
        <v>56263.199999999997</v>
      </c>
      <c r="CF58" s="33">
        <v>23</v>
      </c>
      <c r="CG58" s="33">
        <v>827.4</v>
      </c>
      <c r="CH58" s="33">
        <v>19030.2</v>
      </c>
      <c r="CI58" s="33">
        <v>56</v>
      </c>
      <c r="CJ58" s="33">
        <v>827.4</v>
      </c>
      <c r="CK58" s="33">
        <v>46334.400000000001</v>
      </c>
      <c r="CL58" s="33">
        <v>32</v>
      </c>
      <c r="CM58" s="33">
        <v>827.4</v>
      </c>
      <c r="CN58" s="33">
        <v>26476.799999999999</v>
      </c>
      <c r="CO58" s="33">
        <v>22</v>
      </c>
      <c r="CP58" s="33">
        <v>827.4</v>
      </c>
      <c r="CQ58" s="33">
        <v>18202.8</v>
      </c>
      <c r="CR58" s="33">
        <v>22</v>
      </c>
      <c r="CS58" s="33">
        <v>827.39999999999986</v>
      </c>
      <c r="CT58" s="33">
        <v>18202.799999999996</v>
      </c>
      <c r="CU58" s="33">
        <v>14</v>
      </c>
      <c r="CV58" s="33">
        <v>827.39999999999986</v>
      </c>
      <c r="CW58" s="33">
        <v>11583.599999999999</v>
      </c>
      <c r="CX58" s="33">
        <v>23</v>
      </c>
      <c r="CY58" s="33">
        <v>827.4</v>
      </c>
      <c r="CZ58" s="33">
        <v>19030.2</v>
      </c>
      <c r="DA58" s="33">
        <v>39</v>
      </c>
      <c r="DB58" s="33">
        <v>827.4</v>
      </c>
      <c r="DC58" s="33">
        <v>32268.6</v>
      </c>
      <c r="DD58" s="33"/>
      <c r="DE58" s="33"/>
      <c r="DF58" s="66"/>
    </row>
    <row r="59" spans="1:110" ht="24.95" customHeight="1">
      <c r="A59" s="58">
        <v>44</v>
      </c>
      <c r="B59" s="86" t="s">
        <v>146</v>
      </c>
      <c r="C59" s="60" t="s">
        <v>50</v>
      </c>
      <c r="D59" s="75" t="s">
        <v>156</v>
      </c>
      <c r="E59" s="70" t="s">
        <v>152</v>
      </c>
      <c r="F59" s="60" t="s">
        <v>151</v>
      </c>
      <c r="G59" s="64">
        <v>101</v>
      </c>
      <c r="H59" s="76">
        <v>5459.9999992942749</v>
      </c>
      <c r="I59" s="76">
        <v>551459.99992872181</v>
      </c>
      <c r="J59" s="33">
        <v>300</v>
      </c>
      <c r="K59" s="33">
        <v>5460</v>
      </c>
      <c r="L59" s="33">
        <f t="shared" si="90"/>
        <v>1638000</v>
      </c>
      <c r="M59" s="34">
        <v>307</v>
      </c>
      <c r="N59" s="33">
        <f t="shared" si="91"/>
        <v>5459.9999998222484</v>
      </c>
      <c r="O59" s="33">
        <f t="shared" si="92"/>
        <v>1676219.9999454303</v>
      </c>
      <c r="P59" s="137">
        <f t="shared" si="93"/>
        <v>94</v>
      </c>
      <c r="Q59" s="34">
        <f t="shared" si="95"/>
        <v>5459.9999998222484</v>
      </c>
      <c r="R59" s="33">
        <f t="shared" si="96"/>
        <v>513239.99998329137</v>
      </c>
      <c r="S59" s="36">
        <v>46818</v>
      </c>
      <c r="T59" s="34">
        <v>2620</v>
      </c>
      <c r="U59" s="34">
        <v>5460</v>
      </c>
      <c r="V59" s="34">
        <v>14305200</v>
      </c>
      <c r="W59" s="34">
        <v>2732</v>
      </c>
      <c r="X59" s="34">
        <v>5459.9934075955707</v>
      </c>
      <c r="Y59" s="34">
        <v>14916701.989551099</v>
      </c>
      <c r="Z59" s="34">
        <v>300</v>
      </c>
      <c r="AA59" s="33">
        <v>5459.9999968034799</v>
      </c>
      <c r="AB59" s="34">
        <f t="shared" si="94"/>
        <v>1637999.9990410439</v>
      </c>
      <c r="AC59" s="33">
        <v>206</v>
      </c>
      <c r="AD59" s="33">
        <v>5459.912570555296</v>
      </c>
      <c r="AE59" s="33">
        <v>1124741.9895343911</v>
      </c>
      <c r="AF59" s="65">
        <f>SUMIF($AI$6:$BR$6,$AF$6,AI59:BR59)</f>
        <v>2620</v>
      </c>
      <c r="AG59" s="33">
        <f>IFERROR(AH59/AF59,0)</f>
        <v>5460</v>
      </c>
      <c r="AH59" s="65">
        <f>SUMIF($AI$6:$BR$6,$AH$6,AI59:BR59)</f>
        <v>14305200</v>
      </c>
      <c r="AI59" s="33">
        <v>400</v>
      </c>
      <c r="AJ59" s="33">
        <v>5460</v>
      </c>
      <c r="AK59" s="33">
        <v>2184000</v>
      </c>
      <c r="AL59" s="33"/>
      <c r="AM59" s="33"/>
      <c r="AN59" s="33"/>
      <c r="AO59" s="33">
        <v>220</v>
      </c>
      <c r="AP59" s="33">
        <v>5460</v>
      </c>
      <c r="AQ59" s="33">
        <v>1201200</v>
      </c>
      <c r="AR59" s="33">
        <v>200</v>
      </c>
      <c r="AS59" s="33">
        <v>5460</v>
      </c>
      <c r="AT59" s="33">
        <v>1092000</v>
      </c>
      <c r="AU59" s="33">
        <v>200</v>
      </c>
      <c r="AV59" s="33">
        <v>5460</v>
      </c>
      <c r="AW59" s="33">
        <v>1092000</v>
      </c>
      <c r="AX59" s="33">
        <v>200</v>
      </c>
      <c r="AY59" s="33">
        <v>5460</v>
      </c>
      <c r="AZ59" s="33">
        <v>1092000</v>
      </c>
      <c r="BA59" s="33">
        <v>240</v>
      </c>
      <c r="BB59" s="33">
        <v>5460</v>
      </c>
      <c r="BC59" s="33">
        <v>1310400</v>
      </c>
      <c r="BD59" s="33">
        <v>260</v>
      </c>
      <c r="BE59" s="33">
        <v>5460</v>
      </c>
      <c r="BF59" s="33">
        <v>1419600</v>
      </c>
      <c r="BG59" s="33">
        <v>300</v>
      </c>
      <c r="BH59" s="33">
        <v>5460</v>
      </c>
      <c r="BI59" s="33">
        <v>1638000</v>
      </c>
      <c r="BJ59" s="33">
        <v>300</v>
      </c>
      <c r="BK59" s="33">
        <v>5460</v>
      </c>
      <c r="BL59" s="33">
        <v>1638000</v>
      </c>
      <c r="BM59" s="33">
        <v>300</v>
      </c>
      <c r="BN59" s="33">
        <v>5460</v>
      </c>
      <c r="BO59" s="33">
        <v>1638000</v>
      </c>
      <c r="BP59" s="33"/>
      <c r="BQ59" s="33"/>
      <c r="BR59" s="33"/>
      <c r="BT59" s="65">
        <f>SUMIF($BW$6:$DF$6,$BT$6,BW59:DF59)</f>
        <v>2732</v>
      </c>
      <c r="BU59" s="33">
        <f t="shared" si="20"/>
        <v>5459.9934075955707</v>
      </c>
      <c r="BV59" s="65">
        <f t="shared" si="22"/>
        <v>14916701.989551099</v>
      </c>
      <c r="BW59" s="33">
        <v>348</v>
      </c>
      <c r="BX59" s="33">
        <v>5459.9702797597211</v>
      </c>
      <c r="BY59" s="33">
        <v>1900069.6573563828</v>
      </c>
      <c r="BZ59" s="33">
        <v>221</v>
      </c>
      <c r="CA59" s="33">
        <v>5459.9702797597211</v>
      </c>
      <c r="CB59" s="33">
        <v>1206653.4318268984</v>
      </c>
      <c r="CC59" s="33">
        <v>154</v>
      </c>
      <c r="CD59" s="33">
        <v>5459.9957212105437</v>
      </c>
      <c r="CE59" s="33">
        <v>840839.34106642369</v>
      </c>
      <c r="CF59" s="33">
        <v>195</v>
      </c>
      <c r="CG59" s="33">
        <v>5459.9985454940133</v>
      </c>
      <c r="CH59" s="33">
        <v>1064699.7163713325</v>
      </c>
      <c r="CI59" s="33">
        <v>225</v>
      </c>
      <c r="CJ59" s="33">
        <v>5459.9994899784197</v>
      </c>
      <c r="CK59" s="33">
        <v>1228499.8852451444</v>
      </c>
      <c r="CL59" s="33">
        <v>185</v>
      </c>
      <c r="CM59" s="33">
        <v>5459.9998504176983</v>
      </c>
      <c r="CN59" s="33">
        <v>1010099.9723272742</v>
      </c>
      <c r="CO59" s="33">
        <v>204</v>
      </c>
      <c r="CP59" s="33">
        <v>5459.9999566299839</v>
      </c>
      <c r="CQ59" s="33">
        <v>1113839.9911525168</v>
      </c>
      <c r="CR59" s="33">
        <v>311</v>
      </c>
      <c r="CS59" s="33">
        <v>5459.9999852497913</v>
      </c>
      <c r="CT59" s="33">
        <v>1698059.995412685</v>
      </c>
      <c r="CU59" s="33">
        <v>298</v>
      </c>
      <c r="CV59" s="33">
        <v>5459.9999968034799</v>
      </c>
      <c r="CW59" s="33">
        <v>1627079.999047437</v>
      </c>
      <c r="CX59" s="33">
        <v>284</v>
      </c>
      <c r="CY59" s="33">
        <v>5459.9999992942749</v>
      </c>
      <c r="CZ59" s="33">
        <v>1550639.999799574</v>
      </c>
      <c r="DA59" s="33">
        <v>307</v>
      </c>
      <c r="DB59" s="33">
        <v>5459.9999998222484</v>
      </c>
      <c r="DC59" s="33">
        <v>1676219.9999454303</v>
      </c>
      <c r="DD59" s="33"/>
      <c r="DE59" s="33"/>
      <c r="DF59" s="66"/>
    </row>
    <row r="60" spans="1:110" s="14" customFormat="1" ht="24.95" customHeight="1">
      <c r="A60" s="133">
        <v>45</v>
      </c>
      <c r="B60" s="134" t="s">
        <v>320</v>
      </c>
      <c r="C60" s="135" t="s">
        <v>321</v>
      </c>
      <c r="D60" s="136" t="s">
        <v>55</v>
      </c>
      <c r="E60" s="70" t="s">
        <v>152</v>
      </c>
      <c r="F60" s="135" t="s">
        <v>53</v>
      </c>
      <c r="G60" s="138"/>
      <c r="H60" s="139"/>
      <c r="I60" s="139"/>
      <c r="J60" s="140">
        <v>500</v>
      </c>
      <c r="K60" s="33">
        <v>756</v>
      </c>
      <c r="L60" s="33">
        <f t="shared" si="90"/>
        <v>378000</v>
      </c>
      <c r="M60" s="137">
        <v>381</v>
      </c>
      <c r="N60" s="33">
        <f t="shared" ref="N60" si="97">IFERROR((G60*H60+J60*K60)/(G60+J60),0)</f>
        <v>756</v>
      </c>
      <c r="O60" s="33">
        <f>M60*N60</f>
        <v>288036</v>
      </c>
      <c r="P60" s="137">
        <f t="shared" si="93"/>
        <v>119</v>
      </c>
      <c r="Q60" s="34">
        <f t="shared" si="95"/>
        <v>756</v>
      </c>
      <c r="R60" s="33">
        <f>P60*Q60</f>
        <v>89964</v>
      </c>
      <c r="S60" s="141">
        <v>47257</v>
      </c>
      <c r="T60" s="137">
        <v>500</v>
      </c>
      <c r="U60" s="137">
        <v>756</v>
      </c>
      <c r="V60" s="137">
        <v>378000</v>
      </c>
      <c r="W60" s="137">
        <v>381</v>
      </c>
      <c r="X60" s="137">
        <v>756</v>
      </c>
      <c r="Y60" s="137">
        <v>288036</v>
      </c>
      <c r="Z60" s="137">
        <v>500</v>
      </c>
      <c r="AA60" s="140">
        <v>756</v>
      </c>
      <c r="AB60" s="34">
        <f t="shared" si="94"/>
        <v>378000</v>
      </c>
      <c r="AC60" s="140"/>
      <c r="AD60" s="140"/>
      <c r="AE60" s="140"/>
      <c r="AF60" s="65">
        <f>SUMIF($AI$6:$BR$6,$AF$6,AI60:BR60)</f>
        <v>500</v>
      </c>
      <c r="AG60" s="33">
        <f>IFERROR(AH60/AF60,0)</f>
        <v>756</v>
      </c>
      <c r="AH60" s="65">
        <f>SUMIF($AI$6:$BR$6,$AH$6,AI60:BR60)</f>
        <v>378000</v>
      </c>
      <c r="AI60" s="140"/>
      <c r="AJ60" s="140"/>
      <c r="AK60" s="140"/>
      <c r="AL60" s="140"/>
      <c r="AM60" s="140"/>
      <c r="AN60" s="140"/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  <c r="AY60" s="140"/>
      <c r="AZ60" s="140"/>
      <c r="BA60" s="140"/>
      <c r="BB60" s="140"/>
      <c r="BC60" s="140"/>
      <c r="BD60" s="140"/>
      <c r="BE60" s="140"/>
      <c r="BF60" s="140"/>
      <c r="BG60" s="140"/>
      <c r="BH60" s="140"/>
      <c r="BI60" s="140"/>
      <c r="BJ60" s="140"/>
      <c r="BK60" s="140"/>
      <c r="BL60" s="140"/>
      <c r="BM60" s="140">
        <v>500</v>
      </c>
      <c r="BN60" s="140">
        <v>756</v>
      </c>
      <c r="BO60" s="140">
        <v>378000</v>
      </c>
      <c r="BP60" s="140"/>
      <c r="BQ60" s="140"/>
      <c r="BR60" s="140"/>
      <c r="BT60" s="65">
        <f>SUMIF($BW$6:$DF$6,$BT$6,BW60:DF60)</f>
        <v>381</v>
      </c>
      <c r="BU60" s="33">
        <f t="shared" ref="BU60" si="98">IFERROR(BV60/BT60,0)</f>
        <v>756</v>
      </c>
      <c r="BV60" s="65">
        <f t="shared" ref="BV60" si="99">SUMIF($BW$6:$DF$6,$BV$6,BW60:DF60)</f>
        <v>288036</v>
      </c>
      <c r="BW60" s="140"/>
      <c r="BX60" s="140"/>
      <c r="BY60" s="140"/>
      <c r="BZ60" s="140"/>
      <c r="CA60" s="140"/>
      <c r="CB60" s="140"/>
      <c r="CC60" s="140"/>
      <c r="CD60" s="140"/>
      <c r="CE60" s="140"/>
      <c r="CF60" s="140"/>
      <c r="CG60" s="140"/>
      <c r="CH60" s="140"/>
      <c r="CI60" s="140"/>
      <c r="CJ60" s="140"/>
      <c r="CK60" s="140"/>
      <c r="CL60" s="140"/>
      <c r="CM60" s="140"/>
      <c r="CN60" s="140"/>
      <c r="CO60" s="140"/>
      <c r="CP60" s="140"/>
      <c r="CQ60" s="140"/>
      <c r="CR60" s="140"/>
      <c r="CS60" s="140"/>
      <c r="CT60" s="140"/>
      <c r="CU60" s="140"/>
      <c r="CV60" s="140"/>
      <c r="CW60" s="140"/>
      <c r="CX60" s="140"/>
      <c r="CY60" s="140"/>
      <c r="CZ60" s="140"/>
      <c r="DA60" s="140">
        <v>381</v>
      </c>
      <c r="DB60" s="140">
        <v>756</v>
      </c>
      <c r="DC60" s="140">
        <v>288036</v>
      </c>
      <c r="DD60" s="140"/>
      <c r="DE60" s="140"/>
      <c r="DF60" s="142"/>
    </row>
    <row r="61" spans="1:110" s="25" customFormat="1" ht="24.95" customHeight="1">
      <c r="A61" s="46" t="s">
        <v>24</v>
      </c>
      <c r="B61" s="47"/>
      <c r="C61" s="78"/>
      <c r="D61" s="79"/>
      <c r="E61" s="80"/>
      <c r="F61" s="51"/>
      <c r="G61" s="81">
        <f>SUM(G62:G63)</f>
        <v>1799</v>
      </c>
      <c r="H61" s="53"/>
      <c r="I61" s="81">
        <f>SUM(I62:I63)</f>
        <v>1856242.3523985329</v>
      </c>
      <c r="J61" s="81">
        <f>SUM(J62:J63)</f>
        <v>2500</v>
      </c>
      <c r="K61" s="53"/>
      <c r="L61" s="81">
        <f>SUM(L62:L63)</f>
        <v>2745750</v>
      </c>
      <c r="M61" s="81">
        <f>SUM(M62:M63)</f>
        <v>2778</v>
      </c>
      <c r="N61" s="53"/>
      <c r="O61" s="81">
        <f>SUM(O62:O63)</f>
        <v>3138659.8972304771</v>
      </c>
      <c r="P61" s="81">
        <f>SUM(P62:P63)</f>
        <v>1521</v>
      </c>
      <c r="Q61" s="54"/>
      <c r="R61" s="81">
        <f>SUM(R62:R63)</f>
        <v>1463332.4551680556</v>
      </c>
      <c r="S61" s="56"/>
      <c r="T61" s="55">
        <v>30900</v>
      </c>
      <c r="U61" s="55">
        <v>1040.9271844660195</v>
      </c>
      <c r="V61" s="55">
        <v>32164650</v>
      </c>
      <c r="W61" s="55">
        <v>31415</v>
      </c>
      <c r="X61" s="55">
        <v>1039.3659960152199</v>
      </c>
      <c r="Y61" s="55">
        <v>32651682.764818132</v>
      </c>
      <c r="Z61" s="81">
        <f>SUM(Z62:Z63)</f>
        <v>2500</v>
      </c>
      <c r="AA61" s="53"/>
      <c r="AB61" s="81">
        <f>SUM(AB62:AB63)</f>
        <v>2745749.4908361644</v>
      </c>
      <c r="AC61" s="81">
        <f>SUM(AC62:AC63)</f>
        <v>2036</v>
      </c>
      <c r="AD61" s="54"/>
      <c r="AE61" s="81">
        <f>SUM(AE62:AE63)</f>
        <v>1950365.2199861915</v>
      </c>
      <c r="AF61" s="81">
        <f>SUM(AF62:AF63)</f>
        <v>30900</v>
      </c>
      <c r="AG61" s="52">
        <f>IFERROR(AH61/AF61,0)</f>
        <v>1040.9271844660195</v>
      </c>
      <c r="AH61" s="81">
        <f>SUM(AH62:AH63)</f>
        <v>32164650</v>
      </c>
      <c r="AI61" s="81"/>
      <c r="AJ61" s="81"/>
      <c r="AK61" s="81">
        <f t="shared" ref="AK61:BR61" si="100">SUM(AK62:AK63)</f>
        <v>3386250</v>
      </c>
      <c r="AL61" s="81"/>
      <c r="AM61" s="81"/>
      <c r="AN61" s="81">
        <f t="shared" si="100"/>
        <v>0</v>
      </c>
      <c r="AO61" s="81"/>
      <c r="AP61" s="81"/>
      <c r="AQ61" s="81">
        <f t="shared" si="100"/>
        <v>3264450</v>
      </c>
      <c r="AR61" s="81"/>
      <c r="AS61" s="81"/>
      <c r="AT61" s="81">
        <f t="shared" si="100"/>
        <v>2938950</v>
      </c>
      <c r="AU61" s="81"/>
      <c r="AV61" s="81"/>
      <c r="AW61" s="81">
        <f t="shared" si="100"/>
        <v>3132150</v>
      </c>
      <c r="AX61" s="81"/>
      <c r="AY61" s="81"/>
      <c r="AZ61" s="81">
        <f t="shared" si="100"/>
        <v>3375750</v>
      </c>
      <c r="BA61" s="81"/>
      <c r="BB61" s="81"/>
      <c r="BC61" s="81">
        <f t="shared" si="100"/>
        <v>3538500</v>
      </c>
      <c r="BD61" s="81"/>
      <c r="BE61" s="81"/>
      <c r="BF61" s="81">
        <f t="shared" si="100"/>
        <v>3477600</v>
      </c>
      <c r="BG61" s="81">
        <v>3000</v>
      </c>
      <c r="BH61" s="81"/>
      <c r="BI61" s="81">
        <v>3559500</v>
      </c>
      <c r="BJ61" s="81"/>
      <c r="BK61" s="81"/>
      <c r="BL61" s="81">
        <f t="shared" si="100"/>
        <v>2745750</v>
      </c>
      <c r="BM61" s="81"/>
      <c r="BN61" s="81"/>
      <c r="BO61" s="81">
        <f t="shared" si="100"/>
        <v>2745750</v>
      </c>
      <c r="BP61" s="81"/>
      <c r="BQ61" s="81"/>
      <c r="BR61" s="81">
        <f t="shared" si="100"/>
        <v>0</v>
      </c>
      <c r="BT61" s="81">
        <f>SUM(BT62:BT63)</f>
        <v>31415</v>
      </c>
      <c r="BU61" s="52">
        <f>IFERROR(BV61/BT61,0)</f>
        <v>1039.3659960152199</v>
      </c>
      <c r="BV61" s="81">
        <f>SUM(BV62:BV63)</f>
        <v>32651682.764818132</v>
      </c>
      <c r="BW61" s="53"/>
      <c r="BX61" s="53"/>
      <c r="BY61" s="81">
        <f>SUM(BY62:BY63)</f>
        <v>2760484.7461437965</v>
      </c>
      <c r="BZ61" s="53"/>
      <c r="CA61" s="53"/>
      <c r="CB61" s="81">
        <f>SUM(CB62:CB63)</f>
        <v>2276730.2888624859</v>
      </c>
      <c r="CC61" s="53"/>
      <c r="CD61" s="53"/>
      <c r="CE61" s="81">
        <f t="shared" ref="CE61" si="101">SUM(CE62:CE63)</f>
        <v>2053579.1902440987</v>
      </c>
      <c r="CF61" s="53"/>
      <c r="CG61" s="53"/>
      <c r="CH61" s="81">
        <f t="shared" ref="CH61" si="102">SUM(CH62:CH63)</f>
        <v>2573141.3546544351</v>
      </c>
      <c r="CI61" s="53"/>
      <c r="CJ61" s="53"/>
      <c r="CK61" s="81">
        <f t="shared" ref="CK61" si="103">SUM(CK62:CK63)</f>
        <v>3201941.485991057</v>
      </c>
      <c r="CL61" s="53"/>
      <c r="CM61" s="53"/>
      <c r="CN61" s="81">
        <f t="shared" ref="CN61" si="104">SUM(CN62:CN63)</f>
        <v>3693087.9357065056</v>
      </c>
      <c r="CO61" s="53"/>
      <c r="CP61" s="53"/>
      <c r="CQ61" s="81">
        <f>SUM(CQ62:CQ63)</f>
        <v>3746085.2716553318</v>
      </c>
      <c r="CR61" s="53"/>
      <c r="CS61" s="53"/>
      <c r="CT61" s="81">
        <f t="shared" ref="CT61" si="105">SUM(CT62:CT63)</f>
        <v>3218762.9250019304</v>
      </c>
      <c r="CU61" s="53">
        <v>2394</v>
      </c>
      <c r="CV61" s="53"/>
      <c r="CW61" s="81">
        <v>2984687.4212504402</v>
      </c>
      <c r="CX61" s="81">
        <f>SUM(CX62:CX63)</f>
        <v>2533</v>
      </c>
      <c r="CY61" s="53"/>
      <c r="CZ61" s="81">
        <f>SUM(CZ62:CZ63)</f>
        <v>3004522.248077577</v>
      </c>
      <c r="DA61" s="53"/>
      <c r="DB61" s="53"/>
      <c r="DC61" s="81">
        <f t="shared" ref="DC61" si="106">SUM(DC62:DC63)</f>
        <v>3138659.8972304771</v>
      </c>
      <c r="DD61" s="53"/>
      <c r="DE61" s="53"/>
      <c r="DF61" s="82">
        <f t="shared" ref="DF61" si="107">SUM(DF62:DF63)</f>
        <v>0</v>
      </c>
    </row>
    <row r="62" spans="1:110" ht="24.95" customHeight="1">
      <c r="A62" s="58">
        <v>46</v>
      </c>
      <c r="B62" s="74" t="s">
        <v>160</v>
      </c>
      <c r="C62" s="60" t="s">
        <v>50</v>
      </c>
      <c r="D62" s="75" t="s">
        <v>82</v>
      </c>
      <c r="E62" s="70" t="s">
        <v>98</v>
      </c>
      <c r="F62" s="60" t="s">
        <v>53</v>
      </c>
      <c r="G62" s="64">
        <v>810</v>
      </c>
      <c r="H62" s="76">
        <v>304.5</v>
      </c>
      <c r="I62" s="64">
        <v>246645</v>
      </c>
      <c r="J62" s="33">
        <v>1000</v>
      </c>
      <c r="K62" s="33">
        <v>304.5</v>
      </c>
      <c r="L62" s="33">
        <f t="shared" ref="L62:L99" si="108">J62*K62</f>
        <v>304500</v>
      </c>
      <c r="M62" s="34">
        <v>1045</v>
      </c>
      <c r="N62" s="33">
        <f>IFERROR((G62*H62+J62*K62)/(G62+J62),0)</f>
        <v>304.5</v>
      </c>
      <c r="O62" s="33">
        <f t="shared" ref="O62:O75" si="109">M62*N62</f>
        <v>318202.5</v>
      </c>
      <c r="P62" s="137">
        <f t="shared" ref="P62:P63" si="110">G62+J62-M62</f>
        <v>765</v>
      </c>
      <c r="Q62" s="34">
        <f>N62</f>
        <v>304.5</v>
      </c>
      <c r="R62" s="33">
        <f>P62*Q62</f>
        <v>232942.5</v>
      </c>
      <c r="S62" s="36">
        <v>46935</v>
      </c>
      <c r="T62" s="34">
        <v>13700</v>
      </c>
      <c r="U62" s="34">
        <v>304.5</v>
      </c>
      <c r="V62" s="34">
        <v>4171650</v>
      </c>
      <c r="W62" s="34">
        <v>13952</v>
      </c>
      <c r="X62" s="34">
        <v>304.49999999999801</v>
      </c>
      <c r="Y62" s="34">
        <v>4248383.9999999721</v>
      </c>
      <c r="Z62" s="34">
        <v>1000</v>
      </c>
      <c r="AA62" s="33">
        <v>304.5</v>
      </c>
      <c r="AB62" s="34">
        <f t="shared" ref="AB62:AB63" si="111">Z62*AA62</f>
        <v>304500</v>
      </c>
      <c r="AC62" s="33">
        <v>1017</v>
      </c>
      <c r="AD62" s="33">
        <v>304.49999999997294</v>
      </c>
      <c r="AE62" s="33">
        <v>309676.49999997247</v>
      </c>
      <c r="AF62" s="65">
        <f t="shared" si="21"/>
        <v>13700</v>
      </c>
      <c r="AG62" s="33">
        <f t="shared" si="18"/>
        <v>304.5</v>
      </c>
      <c r="AH62" s="65">
        <f t="shared" si="52"/>
        <v>4171650</v>
      </c>
      <c r="AI62" s="33">
        <v>1500</v>
      </c>
      <c r="AJ62" s="33">
        <v>304.5</v>
      </c>
      <c r="AK62" s="33">
        <v>456750</v>
      </c>
      <c r="AL62" s="33"/>
      <c r="AM62" s="33"/>
      <c r="AN62" s="33"/>
      <c r="AO62" s="33">
        <v>1100</v>
      </c>
      <c r="AP62" s="33">
        <v>304.5</v>
      </c>
      <c r="AQ62" s="33">
        <v>334950</v>
      </c>
      <c r="AR62" s="33">
        <v>1100</v>
      </c>
      <c r="AS62" s="33">
        <v>304.5</v>
      </c>
      <c r="AT62" s="33">
        <v>334950</v>
      </c>
      <c r="AU62" s="33">
        <v>1200</v>
      </c>
      <c r="AV62" s="33">
        <v>304.5</v>
      </c>
      <c r="AW62" s="33">
        <v>365400</v>
      </c>
      <c r="AX62" s="33">
        <v>2000</v>
      </c>
      <c r="AY62" s="33">
        <v>304.5</v>
      </c>
      <c r="AZ62" s="33">
        <v>609000</v>
      </c>
      <c r="BA62" s="33">
        <v>2000</v>
      </c>
      <c r="BB62" s="33">
        <v>304.5</v>
      </c>
      <c r="BC62" s="33">
        <v>609000</v>
      </c>
      <c r="BD62" s="33">
        <v>1800</v>
      </c>
      <c r="BE62" s="33">
        <v>304.5</v>
      </c>
      <c r="BF62" s="33">
        <v>548100</v>
      </c>
      <c r="BG62" s="33">
        <v>1000</v>
      </c>
      <c r="BH62" s="33">
        <v>304.5</v>
      </c>
      <c r="BI62" s="33">
        <v>304500</v>
      </c>
      <c r="BJ62" s="33">
        <v>1000</v>
      </c>
      <c r="BK62" s="33">
        <v>304.5</v>
      </c>
      <c r="BL62" s="33">
        <v>304500</v>
      </c>
      <c r="BM62" s="33">
        <v>1000</v>
      </c>
      <c r="BN62" s="33">
        <v>304.5</v>
      </c>
      <c r="BO62" s="33">
        <f t="shared" ref="BO62:BO63" si="112">BM62*BN62</f>
        <v>304500</v>
      </c>
      <c r="BP62" s="33"/>
      <c r="BQ62" s="33"/>
      <c r="BR62" s="33"/>
      <c r="BT62" s="65">
        <f>SUMIF($BW$6:$DF$6,$BT$6,BW62:DF62)</f>
        <v>13952</v>
      </c>
      <c r="BU62" s="33">
        <f t="shared" si="20"/>
        <v>304.49999999999801</v>
      </c>
      <c r="BV62" s="65">
        <f t="shared" si="22"/>
        <v>4248383.9999999721</v>
      </c>
      <c r="BW62" s="33">
        <v>1106</v>
      </c>
      <c r="BX62" s="33">
        <v>304.49999999998909</v>
      </c>
      <c r="BY62" s="33">
        <v>336776.99999998795</v>
      </c>
      <c r="BZ62" s="33">
        <v>1056</v>
      </c>
      <c r="CA62" s="33">
        <v>304.49999999998909</v>
      </c>
      <c r="CB62" s="33">
        <v>321551.99999998847</v>
      </c>
      <c r="CC62" s="33">
        <v>941</v>
      </c>
      <c r="CD62" s="33">
        <v>304.49999999999739</v>
      </c>
      <c r="CE62" s="33">
        <v>286534.49999999756</v>
      </c>
      <c r="CF62" s="33">
        <v>856</v>
      </c>
      <c r="CG62" s="33">
        <v>304.49999999999915</v>
      </c>
      <c r="CH62" s="33">
        <v>260651.99999999927</v>
      </c>
      <c r="CI62" s="33">
        <v>1205</v>
      </c>
      <c r="CJ62" s="33">
        <v>304.49999999999966</v>
      </c>
      <c r="CK62" s="33">
        <v>366922.49999999959</v>
      </c>
      <c r="CL62" s="33">
        <v>1674</v>
      </c>
      <c r="CM62" s="33">
        <v>304.49999999999994</v>
      </c>
      <c r="CN62" s="33">
        <v>509732.99999999988</v>
      </c>
      <c r="CO62" s="33">
        <v>1554</v>
      </c>
      <c r="CP62" s="33">
        <v>304.5</v>
      </c>
      <c r="CQ62" s="33">
        <v>473193</v>
      </c>
      <c r="CR62" s="33">
        <v>2981</v>
      </c>
      <c r="CS62" s="33">
        <v>304.5</v>
      </c>
      <c r="CT62" s="33">
        <v>907714.5</v>
      </c>
      <c r="CU62" s="33">
        <v>689</v>
      </c>
      <c r="CV62" s="33">
        <v>304.5</v>
      </c>
      <c r="CW62" s="33">
        <v>209800.5</v>
      </c>
      <c r="CX62" s="34">
        <v>845</v>
      </c>
      <c r="CY62" s="35">
        <v>304.5</v>
      </c>
      <c r="CZ62" s="33">
        <v>257302.5</v>
      </c>
      <c r="DA62" s="34">
        <v>1045</v>
      </c>
      <c r="DB62" s="33">
        <v>304.5</v>
      </c>
      <c r="DC62" s="33">
        <v>318202.5</v>
      </c>
      <c r="DD62" s="33"/>
      <c r="DE62" s="33"/>
      <c r="DF62" s="66"/>
    </row>
    <row r="63" spans="1:110" ht="24.95" customHeight="1">
      <c r="A63" s="58">
        <v>47</v>
      </c>
      <c r="B63" s="74" t="s">
        <v>162</v>
      </c>
      <c r="C63" s="60" t="s">
        <v>50</v>
      </c>
      <c r="D63" s="75" t="s">
        <v>161</v>
      </c>
      <c r="E63" s="70" t="s">
        <v>56</v>
      </c>
      <c r="F63" s="60" t="s">
        <v>53</v>
      </c>
      <c r="G63" s="64">
        <v>989</v>
      </c>
      <c r="H63" s="76">
        <v>1627.4998507568585</v>
      </c>
      <c r="I63" s="64">
        <v>1609597.3523985329</v>
      </c>
      <c r="J63" s="33">
        <v>1500</v>
      </c>
      <c r="K63" s="33">
        <v>1627.5</v>
      </c>
      <c r="L63" s="33">
        <f t="shared" si="108"/>
        <v>2441250</v>
      </c>
      <c r="M63" s="34">
        <v>1733</v>
      </c>
      <c r="N63" s="33">
        <f>IFERROR((G63*H63+J63*K63)/(G63+J63),0)</f>
        <v>1627.4999406984864</v>
      </c>
      <c r="O63" s="33">
        <f t="shared" si="109"/>
        <v>2820457.3972304771</v>
      </c>
      <c r="P63" s="137">
        <f t="shared" si="110"/>
        <v>756</v>
      </c>
      <c r="Q63" s="34">
        <f>N63</f>
        <v>1627.4999406984864</v>
      </c>
      <c r="R63" s="33">
        <f>P63*Q63</f>
        <v>1230389.9551680556</v>
      </c>
      <c r="S63" s="36">
        <v>46846</v>
      </c>
      <c r="T63" s="34">
        <v>17200</v>
      </c>
      <c r="U63" s="34">
        <v>1627.5</v>
      </c>
      <c r="V63" s="34">
        <v>27993000</v>
      </c>
      <c r="W63" s="34">
        <v>17463</v>
      </c>
      <c r="X63" s="34">
        <v>1626.4844966396474</v>
      </c>
      <c r="Y63" s="34">
        <v>28403298.764818162</v>
      </c>
      <c r="Z63" s="34">
        <v>1500</v>
      </c>
      <c r="AA63" s="33">
        <v>1627.4996605574429</v>
      </c>
      <c r="AB63" s="34">
        <f t="shared" si="111"/>
        <v>2441249.4908361644</v>
      </c>
      <c r="AC63" s="33">
        <v>1019</v>
      </c>
      <c r="AD63" s="33">
        <v>1610.0968792799008</v>
      </c>
      <c r="AE63" s="33">
        <v>1640688.719986219</v>
      </c>
      <c r="AF63" s="65">
        <f t="shared" si="21"/>
        <v>17200</v>
      </c>
      <c r="AG63" s="33">
        <f t="shared" si="18"/>
        <v>1627.5</v>
      </c>
      <c r="AH63" s="65">
        <f t="shared" si="52"/>
        <v>27993000</v>
      </c>
      <c r="AI63" s="33">
        <v>1800</v>
      </c>
      <c r="AJ63" s="33">
        <v>1627.5</v>
      </c>
      <c r="AK63" s="33">
        <v>2929500</v>
      </c>
      <c r="AL63" s="33"/>
      <c r="AM63" s="33"/>
      <c r="AN63" s="33"/>
      <c r="AO63" s="33">
        <v>1800</v>
      </c>
      <c r="AP63" s="33">
        <v>1627.5</v>
      </c>
      <c r="AQ63" s="33">
        <v>2929500</v>
      </c>
      <c r="AR63" s="33">
        <v>1600</v>
      </c>
      <c r="AS63" s="33">
        <v>1627.5</v>
      </c>
      <c r="AT63" s="33">
        <v>2604000</v>
      </c>
      <c r="AU63" s="33">
        <v>1700</v>
      </c>
      <c r="AV63" s="33">
        <v>1627.5</v>
      </c>
      <c r="AW63" s="33">
        <v>2766750</v>
      </c>
      <c r="AX63" s="33">
        <v>1700</v>
      </c>
      <c r="AY63" s="33">
        <v>1627.5</v>
      </c>
      <c r="AZ63" s="33">
        <v>2766750</v>
      </c>
      <c r="BA63" s="33">
        <v>1800</v>
      </c>
      <c r="BB63" s="33">
        <v>1627.5</v>
      </c>
      <c r="BC63" s="33">
        <v>2929500</v>
      </c>
      <c r="BD63" s="33">
        <v>1800</v>
      </c>
      <c r="BE63" s="33">
        <v>1627.5</v>
      </c>
      <c r="BF63" s="33">
        <v>2929500</v>
      </c>
      <c r="BG63" s="33">
        <v>2000</v>
      </c>
      <c r="BH63" s="33">
        <v>1627.5</v>
      </c>
      <c r="BI63" s="33">
        <v>3255000</v>
      </c>
      <c r="BJ63" s="33">
        <v>1500</v>
      </c>
      <c r="BK63" s="33">
        <v>1627.5</v>
      </c>
      <c r="BL63" s="33">
        <v>2441250</v>
      </c>
      <c r="BM63" s="33">
        <v>1500</v>
      </c>
      <c r="BN63" s="33">
        <v>1627.5</v>
      </c>
      <c r="BO63" s="33">
        <f t="shared" si="112"/>
        <v>2441250</v>
      </c>
      <c r="BP63" s="33"/>
      <c r="BQ63" s="33"/>
      <c r="BR63" s="33"/>
      <c r="BT63" s="65">
        <f t="shared" si="53"/>
        <v>17463</v>
      </c>
      <c r="BU63" s="33">
        <f t="shared" si="20"/>
        <v>1626.4844966396474</v>
      </c>
      <c r="BV63" s="65">
        <f>SUMIF($BW$6:$DF$6,$BV$6,BW63:DF63)</f>
        <v>28403298.764818162</v>
      </c>
      <c r="BW63" s="33">
        <v>1495</v>
      </c>
      <c r="BX63" s="33">
        <v>1621.2091947450226</v>
      </c>
      <c r="BY63" s="33">
        <v>2423707.7461438086</v>
      </c>
      <c r="BZ63" s="33">
        <v>1206</v>
      </c>
      <c r="CA63" s="33">
        <v>1621.2091947450226</v>
      </c>
      <c r="CB63" s="33">
        <v>1955178.2888624973</v>
      </c>
      <c r="CC63" s="33">
        <v>1086</v>
      </c>
      <c r="CD63" s="33">
        <v>1627.1129744420818</v>
      </c>
      <c r="CE63" s="33">
        <v>1767044.690244101</v>
      </c>
      <c r="CF63" s="33">
        <v>1421</v>
      </c>
      <c r="CG63" s="33">
        <v>1627.3675965196594</v>
      </c>
      <c r="CH63" s="33">
        <v>2312489.354654436</v>
      </c>
      <c r="CI63" s="33">
        <v>1742</v>
      </c>
      <c r="CJ63" s="33">
        <v>1627.4506234162213</v>
      </c>
      <c r="CK63" s="33">
        <v>2835018.9859910575</v>
      </c>
      <c r="CL63" s="33">
        <v>1956</v>
      </c>
      <c r="CM63" s="33">
        <v>1627.4820734695836</v>
      </c>
      <c r="CN63" s="33">
        <v>3183354.9357065056</v>
      </c>
      <c r="CO63" s="33">
        <v>2011</v>
      </c>
      <c r="CP63" s="33">
        <v>1627.4949138017562</v>
      </c>
      <c r="CQ63" s="33">
        <v>3272892.2716553318</v>
      </c>
      <c r="CR63" s="33">
        <v>1420</v>
      </c>
      <c r="CS63" s="33">
        <v>1627.4988908464297</v>
      </c>
      <c r="CT63" s="33">
        <v>2311048.4250019304</v>
      </c>
      <c r="CU63" s="33">
        <v>1705</v>
      </c>
      <c r="CV63" s="33">
        <v>1627.4996605574429</v>
      </c>
      <c r="CW63" s="33">
        <v>2774886.9212504402</v>
      </c>
      <c r="CX63" s="34">
        <v>1688</v>
      </c>
      <c r="CY63" s="35">
        <v>1627.4998507568585</v>
      </c>
      <c r="CZ63" s="33">
        <v>2747219.748077577</v>
      </c>
      <c r="DA63" s="34">
        <v>1733</v>
      </c>
      <c r="DB63" s="33">
        <v>1627.4999406984864</v>
      </c>
      <c r="DC63" s="33">
        <v>2820457.3972304771</v>
      </c>
      <c r="DD63" s="33"/>
      <c r="DE63" s="33"/>
      <c r="DF63" s="66"/>
    </row>
    <row r="64" spans="1:110" s="25" customFormat="1" ht="24.95" customHeight="1">
      <c r="A64" s="46" t="s">
        <v>25</v>
      </c>
      <c r="B64" s="47"/>
      <c r="C64" s="48"/>
      <c r="D64" s="49"/>
      <c r="E64" s="80"/>
      <c r="F64" s="51"/>
      <c r="G64" s="81">
        <f>SUM(G65)</f>
        <v>285</v>
      </c>
      <c r="H64" s="53"/>
      <c r="I64" s="81">
        <f>SUM(I65)</f>
        <v>274865.40000000002</v>
      </c>
      <c r="J64" s="81">
        <f>SUM(J65)</f>
        <v>500</v>
      </c>
      <c r="K64" s="53"/>
      <c r="L64" s="81">
        <f>SUM(L65)</f>
        <v>482220</v>
      </c>
      <c r="M64" s="81">
        <f>SUM(M65)</f>
        <v>421</v>
      </c>
      <c r="N64" s="53"/>
      <c r="O64" s="81">
        <f>SUM(O65)</f>
        <v>406029.24000000005</v>
      </c>
      <c r="P64" s="81">
        <f>SUM(P65)</f>
        <v>364</v>
      </c>
      <c r="Q64" s="54"/>
      <c r="R64" s="81">
        <f>SUM(R65)</f>
        <v>351056.16000000003</v>
      </c>
      <c r="S64" s="56"/>
      <c r="T64" s="55">
        <v>8200</v>
      </c>
      <c r="U64" s="55">
        <v>964.44</v>
      </c>
      <c r="V64" s="55">
        <v>7908408</v>
      </c>
      <c r="W64" s="55">
        <v>8187</v>
      </c>
      <c r="X64" s="55">
        <v>964.44</v>
      </c>
      <c r="Y64" s="55">
        <v>7895870.2800000003</v>
      </c>
      <c r="Z64" s="81">
        <f>SUM(Z65)</f>
        <v>400</v>
      </c>
      <c r="AA64" s="53"/>
      <c r="AB64" s="81">
        <f>SUM(AB65)</f>
        <v>385776.00000000006</v>
      </c>
      <c r="AC64" s="81">
        <f>SUM(AC65)</f>
        <v>351</v>
      </c>
      <c r="AD64" s="54"/>
      <c r="AE64" s="81">
        <f>SUM(AE65)</f>
        <v>338518.44</v>
      </c>
      <c r="AF64" s="81">
        <f>SUM(AF65)</f>
        <v>8200</v>
      </c>
      <c r="AG64" s="52">
        <f>IFERROR(AH64/AF64,0)</f>
        <v>964.44</v>
      </c>
      <c r="AH64" s="81">
        <f>SUM(AH65)</f>
        <v>7908408</v>
      </c>
      <c r="AI64" s="81"/>
      <c r="AJ64" s="81"/>
      <c r="AK64" s="81">
        <f t="shared" ref="AK64:BR64" si="113">SUM(AK65)</f>
        <v>482220</v>
      </c>
      <c r="AL64" s="81"/>
      <c r="AM64" s="81"/>
      <c r="AN64" s="81">
        <f t="shared" si="113"/>
        <v>0</v>
      </c>
      <c r="AO64" s="81"/>
      <c r="AP64" s="81"/>
      <c r="AQ64" s="81">
        <f t="shared" si="113"/>
        <v>1446660</v>
      </c>
      <c r="AR64" s="81"/>
      <c r="AS64" s="81"/>
      <c r="AT64" s="81">
        <f t="shared" si="113"/>
        <v>964440</v>
      </c>
      <c r="AU64" s="81"/>
      <c r="AV64" s="81"/>
      <c r="AW64" s="81">
        <f t="shared" si="113"/>
        <v>964440</v>
      </c>
      <c r="AX64" s="81"/>
      <c r="AY64" s="81"/>
      <c r="AZ64" s="81">
        <f t="shared" si="113"/>
        <v>964440</v>
      </c>
      <c r="BA64" s="81"/>
      <c r="BB64" s="81"/>
      <c r="BC64" s="81">
        <f t="shared" si="113"/>
        <v>964440</v>
      </c>
      <c r="BD64" s="81"/>
      <c r="BE64" s="81"/>
      <c r="BF64" s="81">
        <f t="shared" si="113"/>
        <v>675108</v>
      </c>
      <c r="BG64" s="81">
        <v>500</v>
      </c>
      <c r="BH64" s="81"/>
      <c r="BI64" s="81">
        <v>482220</v>
      </c>
      <c r="BJ64" s="81"/>
      <c r="BK64" s="81"/>
      <c r="BL64" s="81">
        <f t="shared" si="113"/>
        <v>482220</v>
      </c>
      <c r="BM64" s="81"/>
      <c r="BN64" s="81"/>
      <c r="BO64" s="81">
        <f t="shared" si="113"/>
        <v>482220</v>
      </c>
      <c r="BP64" s="81"/>
      <c r="BQ64" s="81"/>
      <c r="BR64" s="81">
        <f t="shared" si="113"/>
        <v>0</v>
      </c>
      <c r="BT64" s="81">
        <f>SUM(BT65)</f>
        <v>8187</v>
      </c>
      <c r="BU64" s="52">
        <f>IFERROR(BV64/BT64,0)</f>
        <v>964.44</v>
      </c>
      <c r="BV64" s="81">
        <f>SUM(BV65)</f>
        <v>7895870.2800000003</v>
      </c>
      <c r="BW64" s="53"/>
      <c r="BX64" s="53"/>
      <c r="BY64" s="81">
        <f>SUM(BY65)</f>
        <v>484148.87999999995</v>
      </c>
      <c r="BZ64" s="53"/>
      <c r="CA64" s="53"/>
      <c r="CB64" s="81">
        <f>SUM(CB65)</f>
        <v>336589.56</v>
      </c>
      <c r="CC64" s="53"/>
      <c r="CD64" s="53"/>
      <c r="CE64" s="81">
        <f t="shared" ref="CE64" si="114">SUM(CE65)</f>
        <v>622063.80000000005</v>
      </c>
      <c r="CF64" s="53"/>
      <c r="CG64" s="53"/>
      <c r="CH64" s="81">
        <f t="shared" ref="CH64" si="115">SUM(CH65)</f>
        <v>794698.56</v>
      </c>
      <c r="CI64" s="53"/>
      <c r="CJ64" s="53"/>
      <c r="CK64" s="81">
        <f t="shared" ref="CK64" si="116">SUM(CK65)</f>
        <v>943222.32000000007</v>
      </c>
      <c r="CL64" s="53"/>
      <c r="CM64" s="53"/>
      <c r="CN64" s="81">
        <f t="shared" ref="CN64" si="117">SUM(CN65)</f>
        <v>1200727.8</v>
      </c>
      <c r="CO64" s="53"/>
      <c r="CP64" s="53"/>
      <c r="CQ64" s="81">
        <f>SUM(CQ65)</f>
        <v>1395544.6800000002</v>
      </c>
      <c r="CR64" s="53"/>
      <c r="CS64" s="53"/>
      <c r="CT64" s="81">
        <f t="shared" ref="CT64" si="118">SUM(CT65)</f>
        <v>795663</v>
      </c>
      <c r="CU64" s="53">
        <v>489</v>
      </c>
      <c r="CV64" s="53"/>
      <c r="CW64" s="81">
        <v>471611.16000000009</v>
      </c>
      <c r="CX64" s="81">
        <f>SUM(CX65)</f>
        <v>462</v>
      </c>
      <c r="CY64" s="53"/>
      <c r="CZ64" s="81">
        <f t="shared" ref="CZ64" si="119">SUM(CZ65)</f>
        <v>445571.28000000009</v>
      </c>
      <c r="DA64" s="53"/>
      <c r="DB64" s="53"/>
      <c r="DC64" s="81">
        <f t="shared" ref="DC64" si="120">SUM(DC65)</f>
        <v>406029.24000000005</v>
      </c>
      <c r="DD64" s="53"/>
      <c r="DE64" s="53"/>
      <c r="DF64" s="82">
        <f t="shared" ref="DF64" si="121">SUM(DF65)</f>
        <v>0</v>
      </c>
    </row>
    <row r="65" spans="1:110" ht="24.95" customHeight="1">
      <c r="A65" s="58">
        <v>48</v>
      </c>
      <c r="B65" s="87" t="s">
        <v>118</v>
      </c>
      <c r="C65" s="60" t="s">
        <v>50</v>
      </c>
      <c r="D65" s="31" t="s">
        <v>112</v>
      </c>
      <c r="E65" s="70" t="s">
        <v>119</v>
      </c>
      <c r="F65" s="60" t="s">
        <v>53</v>
      </c>
      <c r="G65" s="64">
        <v>285</v>
      </c>
      <c r="H65" s="76">
        <v>964.44</v>
      </c>
      <c r="I65" s="76">
        <v>274865.40000000002</v>
      </c>
      <c r="J65" s="33">
        <v>500</v>
      </c>
      <c r="K65" s="33">
        <v>964.44</v>
      </c>
      <c r="L65" s="33">
        <f t="shared" si="108"/>
        <v>482220</v>
      </c>
      <c r="M65" s="34">
        <v>421</v>
      </c>
      <c r="N65" s="33">
        <f>IFERROR((G65*H65+J65*K65)/(G65+J65),0)</f>
        <v>964.44</v>
      </c>
      <c r="O65" s="33">
        <f t="shared" si="109"/>
        <v>406029.24000000005</v>
      </c>
      <c r="P65" s="137">
        <f t="shared" ref="P65" si="122">G65+J65-M65</f>
        <v>364</v>
      </c>
      <c r="Q65" s="34">
        <f>N65</f>
        <v>964.44</v>
      </c>
      <c r="R65" s="33">
        <f>P65*Q65</f>
        <v>351056.16000000003</v>
      </c>
      <c r="S65" s="36">
        <v>46986</v>
      </c>
      <c r="T65" s="34">
        <v>8200</v>
      </c>
      <c r="U65" s="34">
        <v>964.44</v>
      </c>
      <c r="V65" s="34">
        <v>7908408</v>
      </c>
      <c r="W65" s="34">
        <v>8187</v>
      </c>
      <c r="X65" s="34">
        <v>964.44</v>
      </c>
      <c r="Y65" s="34">
        <v>7895870.2800000003</v>
      </c>
      <c r="Z65" s="34">
        <v>400</v>
      </c>
      <c r="AA65" s="33">
        <v>964.44000000000017</v>
      </c>
      <c r="AB65" s="34">
        <f t="shared" ref="AB65" si="123">Z65*AA65</f>
        <v>385776.00000000006</v>
      </c>
      <c r="AC65" s="33">
        <v>351</v>
      </c>
      <c r="AD65" s="33">
        <v>964.43999999999994</v>
      </c>
      <c r="AE65" s="33">
        <v>338518.44</v>
      </c>
      <c r="AF65" s="65">
        <f t="shared" si="21"/>
        <v>8200</v>
      </c>
      <c r="AG65" s="33">
        <f t="shared" si="18"/>
        <v>964.44</v>
      </c>
      <c r="AH65" s="65">
        <f t="shared" si="52"/>
        <v>7908408</v>
      </c>
      <c r="AI65" s="33">
        <v>500</v>
      </c>
      <c r="AJ65" s="33">
        <v>964.44</v>
      </c>
      <c r="AK65" s="33">
        <v>482220</v>
      </c>
      <c r="AL65" s="33"/>
      <c r="AM65" s="33"/>
      <c r="AN65" s="33"/>
      <c r="AO65" s="33">
        <v>1500</v>
      </c>
      <c r="AP65" s="33">
        <v>964.44</v>
      </c>
      <c r="AQ65" s="33">
        <v>1446660</v>
      </c>
      <c r="AR65" s="33">
        <v>1000</v>
      </c>
      <c r="AS65" s="33">
        <v>964.44</v>
      </c>
      <c r="AT65" s="33">
        <v>964440</v>
      </c>
      <c r="AU65" s="33">
        <v>1000</v>
      </c>
      <c r="AV65" s="33">
        <v>964.44</v>
      </c>
      <c r="AW65" s="33">
        <v>964440</v>
      </c>
      <c r="AX65" s="33">
        <v>1000</v>
      </c>
      <c r="AY65" s="33">
        <v>964.44</v>
      </c>
      <c r="AZ65" s="33">
        <v>964440</v>
      </c>
      <c r="BA65" s="33">
        <v>1000</v>
      </c>
      <c r="BB65" s="33">
        <v>964.44</v>
      </c>
      <c r="BC65" s="33">
        <v>964440</v>
      </c>
      <c r="BD65" s="33">
        <v>700</v>
      </c>
      <c r="BE65" s="33">
        <v>964.44</v>
      </c>
      <c r="BF65" s="33">
        <v>675108</v>
      </c>
      <c r="BG65" s="33">
        <v>500</v>
      </c>
      <c r="BH65" s="33">
        <v>964.44</v>
      </c>
      <c r="BI65" s="33">
        <v>482220</v>
      </c>
      <c r="BJ65" s="33">
        <v>500</v>
      </c>
      <c r="BK65" s="33">
        <v>964.44</v>
      </c>
      <c r="BL65" s="33">
        <f>BJ65*BK65</f>
        <v>482220</v>
      </c>
      <c r="BM65" s="33">
        <v>500</v>
      </c>
      <c r="BN65" s="33">
        <v>964.44</v>
      </c>
      <c r="BO65" s="33">
        <f t="shared" ref="BO65" si="124">BM65*BN65</f>
        <v>482220</v>
      </c>
      <c r="BP65" s="33"/>
      <c r="BQ65" s="33"/>
      <c r="BR65" s="33"/>
      <c r="BT65" s="65">
        <f t="shared" si="53"/>
        <v>8187</v>
      </c>
      <c r="BU65" s="33">
        <f t="shared" si="20"/>
        <v>964.44</v>
      </c>
      <c r="BV65" s="65">
        <f>SUMIF($BW$6:$DF$6,$BV$6,BW65:DF65)</f>
        <v>7895870.2800000003</v>
      </c>
      <c r="BW65" s="33">
        <v>502</v>
      </c>
      <c r="BX65" s="33">
        <v>964.43999999999994</v>
      </c>
      <c r="BY65" s="33">
        <v>484148.87999999995</v>
      </c>
      <c r="BZ65" s="33">
        <v>349</v>
      </c>
      <c r="CA65" s="33">
        <v>964.43999999999994</v>
      </c>
      <c r="CB65" s="33">
        <v>336589.56</v>
      </c>
      <c r="CC65" s="33">
        <v>645</v>
      </c>
      <c r="CD65" s="33">
        <v>964.44</v>
      </c>
      <c r="CE65" s="33">
        <v>622063.80000000005</v>
      </c>
      <c r="CF65" s="33">
        <v>824</v>
      </c>
      <c r="CG65" s="33">
        <v>964.44</v>
      </c>
      <c r="CH65" s="33">
        <v>794698.56</v>
      </c>
      <c r="CI65" s="33">
        <v>978</v>
      </c>
      <c r="CJ65" s="33">
        <v>964.44</v>
      </c>
      <c r="CK65" s="33">
        <v>943222.32000000007</v>
      </c>
      <c r="CL65" s="33">
        <v>1245</v>
      </c>
      <c r="CM65" s="33">
        <v>964.44</v>
      </c>
      <c r="CN65" s="33">
        <v>1200727.8</v>
      </c>
      <c r="CO65" s="33">
        <v>1447</v>
      </c>
      <c r="CP65" s="33">
        <v>964.44</v>
      </c>
      <c r="CQ65" s="33">
        <v>1395544.6800000002</v>
      </c>
      <c r="CR65" s="33">
        <v>825</v>
      </c>
      <c r="CS65" s="33">
        <v>964.44</v>
      </c>
      <c r="CT65" s="33">
        <v>795663</v>
      </c>
      <c r="CU65" s="33">
        <v>489</v>
      </c>
      <c r="CV65" s="33">
        <v>964.44000000000017</v>
      </c>
      <c r="CW65" s="33">
        <v>471611.16000000009</v>
      </c>
      <c r="CX65" s="34">
        <v>462</v>
      </c>
      <c r="CY65" s="35">
        <f>IFERROR((CR65*CS65+CU65*CV65)/(CR65+CU65),0)</f>
        <v>964.44000000000017</v>
      </c>
      <c r="CZ65" s="33">
        <f t="shared" ref="CZ65" si="125">CX65*CY65</f>
        <v>445571.28000000009</v>
      </c>
      <c r="DA65" s="34">
        <v>421</v>
      </c>
      <c r="DB65" s="33">
        <v>964.44</v>
      </c>
      <c r="DC65" s="33">
        <v>406029.24000000005</v>
      </c>
      <c r="DD65" s="33"/>
      <c r="DE65" s="33"/>
      <c r="DF65" s="66"/>
    </row>
    <row r="66" spans="1:110" s="25" customFormat="1" ht="24.95" customHeight="1">
      <c r="A66" s="46" t="s">
        <v>26</v>
      </c>
      <c r="B66" s="47"/>
      <c r="C66" s="48"/>
      <c r="D66" s="79"/>
      <c r="E66" s="80"/>
      <c r="F66" s="51"/>
      <c r="G66" s="81">
        <f>SUM(G67:G71)</f>
        <v>2374</v>
      </c>
      <c r="H66" s="53"/>
      <c r="I66" s="81">
        <f>SUM(I67:I71)</f>
        <v>3824216.2677436825</v>
      </c>
      <c r="J66" s="81">
        <f>SUM(J67:J71)</f>
        <v>3100</v>
      </c>
      <c r="K66" s="53"/>
      <c r="L66" s="81">
        <f>SUM(L67:L71)</f>
        <v>4275075</v>
      </c>
      <c r="M66" s="81">
        <f>SUM(M67:M72)</f>
        <v>3333</v>
      </c>
      <c r="N66" s="53"/>
      <c r="O66" s="81">
        <f>SUM(O67:O72)</f>
        <v>4989145.6464605033</v>
      </c>
      <c r="P66" s="81">
        <f>SUM(P67:P72)</f>
        <v>2141</v>
      </c>
      <c r="Q66" s="54"/>
      <c r="R66" s="81">
        <f>SUM(R67:R72)</f>
        <v>3110145.6212831787</v>
      </c>
      <c r="S66" s="56"/>
      <c r="T66" s="55">
        <v>26300</v>
      </c>
      <c r="U66" s="55">
        <v>1457.3081749049429</v>
      </c>
      <c r="V66" s="55">
        <v>38327205</v>
      </c>
      <c r="W66" s="55">
        <v>25610</v>
      </c>
      <c r="X66" s="55">
        <v>1461.3158952343679</v>
      </c>
      <c r="Y66" s="55">
        <v>37424300.076952159</v>
      </c>
      <c r="Z66" s="81">
        <f>SUM(Z67:Z72)</f>
        <v>3050</v>
      </c>
      <c r="AA66" s="53"/>
      <c r="AB66" s="81">
        <f>SUM(AB67:AB72)</f>
        <v>4727479.927811034</v>
      </c>
      <c r="AC66" s="81">
        <f>SUM(AC67:AC72)</f>
        <v>1451</v>
      </c>
      <c r="AD66" s="54"/>
      <c r="AE66" s="81">
        <f>SUM(AE67:AE72)</f>
        <v>2207240.6982353376</v>
      </c>
      <c r="AF66" s="81">
        <f>SUM(AF67:AF72)</f>
        <v>26300</v>
      </c>
      <c r="AG66" s="52">
        <f>IFERROR(AH66/AF66,0)</f>
        <v>1457.3081749049429</v>
      </c>
      <c r="AH66" s="81">
        <f>SUM(AH67:AH72)</f>
        <v>38327205</v>
      </c>
      <c r="AI66" s="81"/>
      <c r="AJ66" s="81"/>
      <c r="AK66" s="81">
        <f t="shared" ref="AK66:BR66" si="126">SUM(AK67:AK72)</f>
        <v>3907680</v>
      </c>
      <c r="AL66" s="81"/>
      <c r="AM66" s="81"/>
      <c r="AN66" s="81">
        <f t="shared" si="126"/>
        <v>0</v>
      </c>
      <c r="AO66" s="81"/>
      <c r="AP66" s="81"/>
      <c r="AQ66" s="81">
        <f t="shared" si="126"/>
        <v>4514790</v>
      </c>
      <c r="AR66" s="81"/>
      <c r="AS66" s="81"/>
      <c r="AT66" s="81">
        <f t="shared" si="126"/>
        <v>3304035</v>
      </c>
      <c r="AU66" s="81"/>
      <c r="AV66" s="81"/>
      <c r="AW66" s="81">
        <f t="shared" si="126"/>
        <v>3170160</v>
      </c>
      <c r="AX66" s="81"/>
      <c r="AY66" s="81"/>
      <c r="AZ66" s="81">
        <f t="shared" si="126"/>
        <v>3230640</v>
      </c>
      <c r="BA66" s="81"/>
      <c r="BB66" s="81"/>
      <c r="BC66" s="81">
        <f t="shared" si="126"/>
        <v>2861145</v>
      </c>
      <c r="BD66" s="81"/>
      <c r="BE66" s="81"/>
      <c r="BF66" s="81">
        <f t="shared" si="126"/>
        <v>3567270</v>
      </c>
      <c r="BG66" s="81">
        <v>3100</v>
      </c>
      <c r="BH66" s="81"/>
      <c r="BI66" s="81">
        <v>4748205</v>
      </c>
      <c r="BJ66" s="81"/>
      <c r="BK66" s="81"/>
      <c r="BL66" s="81">
        <f t="shared" si="126"/>
        <v>4748205</v>
      </c>
      <c r="BM66" s="81"/>
      <c r="BN66" s="81"/>
      <c r="BO66" s="81">
        <f t="shared" si="126"/>
        <v>4275075</v>
      </c>
      <c r="BP66" s="81"/>
      <c r="BQ66" s="81"/>
      <c r="BR66" s="81">
        <f t="shared" si="126"/>
        <v>0</v>
      </c>
      <c r="BT66" s="81">
        <f>SUM(BT67:BT72)</f>
        <v>25610</v>
      </c>
      <c r="BU66" s="52">
        <f>IFERROR(BV66/BT66,0)</f>
        <v>1461.3158952343679</v>
      </c>
      <c r="BV66" s="81">
        <f>SUM(BV67:BV72)</f>
        <v>37424300.076952159</v>
      </c>
      <c r="BW66" s="53"/>
      <c r="BX66" s="53"/>
      <c r="BY66" s="81">
        <f>SUM(BY67:BY72)</f>
        <v>2992612.3492166833</v>
      </c>
      <c r="BZ66" s="53"/>
      <c r="CA66" s="53"/>
      <c r="CB66" s="81">
        <f>SUM(CB67:CB72)</f>
        <v>2624384.6992265848</v>
      </c>
      <c r="CC66" s="53"/>
      <c r="CD66" s="53"/>
      <c r="CE66" s="81">
        <f t="shared" ref="CE66" si="127">SUM(CE67:CE72)</f>
        <v>2158270.7998852069</v>
      </c>
      <c r="CF66" s="53"/>
      <c r="CG66" s="53"/>
      <c r="CH66" s="81">
        <f t="shared" ref="CH66" si="128">SUM(CH67:CH72)</f>
        <v>3153377.8499429785</v>
      </c>
      <c r="CI66" s="53"/>
      <c r="CJ66" s="53"/>
      <c r="CK66" s="81">
        <f t="shared" ref="CK66" si="129">SUM(CK67:CK72)</f>
        <v>3592110.8999748426</v>
      </c>
      <c r="CL66" s="53"/>
      <c r="CM66" s="53"/>
      <c r="CN66" s="81">
        <f t="shared" ref="CN66" si="130">SUM(CN67:CN72)</f>
        <v>3768991.4019523598</v>
      </c>
      <c r="CO66" s="53"/>
      <c r="CP66" s="53"/>
      <c r="CQ66" s="81">
        <f>SUM(CQ67:CQ72)</f>
        <v>3406909.3035369175</v>
      </c>
      <c r="CR66" s="53"/>
      <c r="CS66" s="53"/>
      <c r="CT66" s="81">
        <f t="shared" ref="CT66" si="131">SUM(CT67:CT72)</f>
        <v>3195254.5177758732</v>
      </c>
      <c r="CU66" s="53">
        <v>2485</v>
      </c>
      <c r="CV66" s="53"/>
      <c r="CW66" s="81">
        <v>3573718.2069979999</v>
      </c>
      <c r="CX66" s="81">
        <f>SUM(CX67:CX72)</f>
        <v>2676</v>
      </c>
      <c r="CY66" s="53"/>
      <c r="CZ66" s="81">
        <f>SUM(CZ67:CZ72)</f>
        <v>3969524.4019822059</v>
      </c>
      <c r="DA66" s="53"/>
      <c r="DB66" s="53"/>
      <c r="DC66" s="81">
        <f>SUM(DC67:DC72)</f>
        <v>4989145.6464605033</v>
      </c>
      <c r="DD66" s="53"/>
      <c r="DE66" s="53"/>
      <c r="DF66" s="82">
        <f t="shared" ref="DF66" si="132">SUM(DF67:DF72)</f>
        <v>0</v>
      </c>
    </row>
    <row r="67" spans="1:110" ht="24.95" customHeight="1">
      <c r="A67" s="58">
        <v>49</v>
      </c>
      <c r="B67" s="84" t="s">
        <v>120</v>
      </c>
      <c r="C67" s="60" t="s">
        <v>50</v>
      </c>
      <c r="D67" s="75" t="s">
        <v>117</v>
      </c>
      <c r="E67" s="70" t="s">
        <v>71</v>
      </c>
      <c r="F67" s="60" t="s">
        <v>53</v>
      </c>
      <c r="G67" s="64">
        <v>85</v>
      </c>
      <c r="H67" s="76">
        <v>183.75</v>
      </c>
      <c r="I67" s="64">
        <v>15618.75</v>
      </c>
      <c r="J67" s="33">
        <v>100</v>
      </c>
      <c r="K67" s="33">
        <v>183.75</v>
      </c>
      <c r="L67" s="33">
        <f t="shared" si="108"/>
        <v>18375</v>
      </c>
      <c r="M67" s="34">
        <v>101</v>
      </c>
      <c r="N67" s="33">
        <f t="shared" ref="N67:N72" si="133">IFERROR((G67*H67+J67*K67)/(G67+J67),0)</f>
        <v>183.75</v>
      </c>
      <c r="O67" s="33">
        <f t="shared" si="109"/>
        <v>18558.75</v>
      </c>
      <c r="P67" s="137">
        <f t="shared" ref="P67:P72" si="134">G67+J67-M67</f>
        <v>84</v>
      </c>
      <c r="Q67" s="34">
        <f>N67</f>
        <v>183.75</v>
      </c>
      <c r="R67" s="33">
        <f>P67*Q67</f>
        <v>15435</v>
      </c>
      <c r="S67" s="36">
        <v>47042</v>
      </c>
      <c r="T67" s="34">
        <v>1100</v>
      </c>
      <c r="U67" s="34">
        <v>183.75</v>
      </c>
      <c r="V67" s="34">
        <v>202125</v>
      </c>
      <c r="W67" s="34">
        <v>1032</v>
      </c>
      <c r="X67" s="34">
        <v>183.75</v>
      </c>
      <c r="Y67" s="34">
        <v>189630</v>
      </c>
      <c r="Z67" s="34">
        <v>100</v>
      </c>
      <c r="AA67" s="33">
        <v>183.75</v>
      </c>
      <c r="AB67" s="34">
        <f t="shared" ref="AB67:AB72" si="135">Z67*AA67</f>
        <v>18375</v>
      </c>
      <c r="AC67" s="33">
        <v>16</v>
      </c>
      <c r="AD67" s="33">
        <v>183.75</v>
      </c>
      <c r="AE67" s="33">
        <v>2940</v>
      </c>
      <c r="AF67" s="65">
        <f t="shared" si="21"/>
        <v>1100</v>
      </c>
      <c r="AG67" s="33">
        <f t="shared" si="18"/>
        <v>183.75</v>
      </c>
      <c r="AH67" s="65">
        <f t="shared" si="52"/>
        <v>202125</v>
      </c>
      <c r="AI67" s="33">
        <v>300</v>
      </c>
      <c r="AJ67" s="33">
        <v>183.75</v>
      </c>
      <c r="AK67" s="33">
        <v>55125</v>
      </c>
      <c r="AL67" s="33"/>
      <c r="AM67" s="33"/>
      <c r="AN67" s="33"/>
      <c r="AO67" s="33">
        <v>100</v>
      </c>
      <c r="AP67" s="33">
        <v>183.75</v>
      </c>
      <c r="AQ67" s="33">
        <v>18375</v>
      </c>
      <c r="AR67" s="33"/>
      <c r="AS67" s="33">
        <v>0</v>
      </c>
      <c r="AT67" s="33">
        <v>0</v>
      </c>
      <c r="AU67" s="33">
        <v>100</v>
      </c>
      <c r="AV67" s="33">
        <v>183.75</v>
      </c>
      <c r="AW67" s="33">
        <v>18375</v>
      </c>
      <c r="AX67" s="33"/>
      <c r="AY67" s="33">
        <v>0</v>
      </c>
      <c r="AZ67" s="33">
        <v>0</v>
      </c>
      <c r="BA67" s="33"/>
      <c r="BB67" s="33">
        <v>0</v>
      </c>
      <c r="BC67" s="33">
        <v>0</v>
      </c>
      <c r="BD67" s="33">
        <v>300</v>
      </c>
      <c r="BE67" s="33">
        <v>183.75</v>
      </c>
      <c r="BF67" s="33">
        <v>55125</v>
      </c>
      <c r="BG67" s="33">
        <v>100</v>
      </c>
      <c r="BH67" s="33">
        <v>183.75</v>
      </c>
      <c r="BI67" s="33">
        <v>18375</v>
      </c>
      <c r="BJ67" s="33">
        <v>100</v>
      </c>
      <c r="BK67" s="33">
        <v>183.75</v>
      </c>
      <c r="BL67" s="33">
        <v>18375</v>
      </c>
      <c r="BM67" s="33">
        <v>100</v>
      </c>
      <c r="BN67" s="33">
        <v>183.75</v>
      </c>
      <c r="BO67" s="33">
        <f t="shared" ref="BO67:BO72" si="136">BM67*BN67</f>
        <v>18375</v>
      </c>
      <c r="BP67" s="33"/>
      <c r="BQ67" s="33"/>
      <c r="BR67" s="33"/>
      <c r="BT67" s="65">
        <f t="shared" si="53"/>
        <v>1032</v>
      </c>
      <c r="BU67" s="33">
        <f t="shared" si="20"/>
        <v>183.75</v>
      </c>
      <c r="BV67" s="65">
        <f t="shared" ref="BV67:BV99" si="137">SUMIF($BW$6:$DF$6,$BV$6,BW67:DF67)</f>
        <v>189630</v>
      </c>
      <c r="BW67" s="33">
        <v>195</v>
      </c>
      <c r="BX67" s="33">
        <v>183.75</v>
      </c>
      <c r="BY67" s="33">
        <v>35831.25</v>
      </c>
      <c r="BZ67" s="33">
        <v>63</v>
      </c>
      <c r="CA67" s="33">
        <v>183.75</v>
      </c>
      <c r="CB67" s="33">
        <v>11576.25</v>
      </c>
      <c r="CC67" s="33">
        <v>80</v>
      </c>
      <c r="CD67" s="33">
        <v>183.75</v>
      </c>
      <c r="CE67" s="33">
        <v>14700</v>
      </c>
      <c r="CF67" s="33">
        <v>41</v>
      </c>
      <c r="CG67" s="33">
        <v>183.75</v>
      </c>
      <c r="CH67" s="33">
        <v>7533.75</v>
      </c>
      <c r="CI67" s="33">
        <v>56</v>
      </c>
      <c r="CJ67" s="33">
        <v>183.75</v>
      </c>
      <c r="CK67" s="33">
        <v>10290</v>
      </c>
      <c r="CL67" s="33">
        <v>32</v>
      </c>
      <c r="CM67" s="33">
        <v>183.75</v>
      </c>
      <c r="CN67" s="33">
        <v>5880</v>
      </c>
      <c r="CO67" s="33">
        <v>49</v>
      </c>
      <c r="CP67" s="33">
        <v>183.75</v>
      </c>
      <c r="CQ67" s="33">
        <v>9003.75</v>
      </c>
      <c r="CR67" s="33">
        <v>51</v>
      </c>
      <c r="CS67" s="33">
        <v>183.75</v>
      </c>
      <c r="CT67" s="33">
        <v>9371.25</v>
      </c>
      <c r="CU67" s="33">
        <v>188</v>
      </c>
      <c r="CV67" s="33">
        <v>183.75</v>
      </c>
      <c r="CW67" s="33">
        <v>34545</v>
      </c>
      <c r="CX67" s="34">
        <v>176</v>
      </c>
      <c r="CY67" s="35">
        <v>183.75</v>
      </c>
      <c r="CZ67" s="33">
        <v>32340</v>
      </c>
      <c r="DA67" s="34">
        <v>101</v>
      </c>
      <c r="DB67" s="33">
        <v>183.75</v>
      </c>
      <c r="DC67" s="33">
        <v>18558.75</v>
      </c>
      <c r="DD67" s="33"/>
      <c r="DE67" s="33"/>
      <c r="DF67" s="66"/>
    </row>
    <row r="68" spans="1:110" ht="24.95" customHeight="1">
      <c r="A68" s="58">
        <v>50</v>
      </c>
      <c r="B68" s="86" t="s">
        <v>123</v>
      </c>
      <c r="C68" s="60" t="s">
        <v>50</v>
      </c>
      <c r="D68" s="75" t="s">
        <v>55</v>
      </c>
      <c r="E68" s="70" t="s">
        <v>126</v>
      </c>
      <c r="F68" s="60" t="s">
        <v>53</v>
      </c>
      <c r="G68" s="64">
        <v>99</v>
      </c>
      <c r="H68" s="76">
        <v>1522.5</v>
      </c>
      <c r="I68" s="64">
        <v>150727.5</v>
      </c>
      <c r="J68" s="33">
        <v>200</v>
      </c>
      <c r="K68" s="33">
        <v>1522.5</v>
      </c>
      <c r="L68" s="33">
        <f t="shared" si="108"/>
        <v>304500</v>
      </c>
      <c r="M68" s="34">
        <v>186</v>
      </c>
      <c r="N68" s="33">
        <f t="shared" si="133"/>
        <v>1522.5</v>
      </c>
      <c r="O68" s="33">
        <f t="shared" si="109"/>
        <v>283185</v>
      </c>
      <c r="P68" s="137">
        <f t="shared" si="134"/>
        <v>113</v>
      </c>
      <c r="Q68" s="34">
        <f t="shared" ref="Q68:Q72" si="138">N68</f>
        <v>1522.5</v>
      </c>
      <c r="R68" s="33">
        <f t="shared" ref="R68:R72" si="139">P68*Q68</f>
        <v>172042.5</v>
      </c>
      <c r="S68" s="36">
        <v>46565</v>
      </c>
      <c r="T68" s="34">
        <v>4900</v>
      </c>
      <c r="U68" s="34">
        <v>1522.5</v>
      </c>
      <c r="V68" s="34">
        <v>7460250</v>
      </c>
      <c r="W68" s="34">
        <v>4990</v>
      </c>
      <c r="X68" s="34">
        <v>1522.5</v>
      </c>
      <c r="Y68" s="34">
        <v>7597275</v>
      </c>
      <c r="Z68" s="34">
        <v>200</v>
      </c>
      <c r="AA68" s="33">
        <v>1522.5</v>
      </c>
      <c r="AB68" s="34">
        <f t="shared" si="135"/>
        <v>304500</v>
      </c>
      <c r="AC68" s="33">
        <v>203</v>
      </c>
      <c r="AD68" s="33">
        <v>1522.5</v>
      </c>
      <c r="AE68" s="33">
        <v>309067.5</v>
      </c>
      <c r="AF68" s="65">
        <f t="shared" si="21"/>
        <v>4900</v>
      </c>
      <c r="AG68" s="33">
        <f t="shared" si="18"/>
        <v>1522.5</v>
      </c>
      <c r="AH68" s="65">
        <f t="shared" si="52"/>
        <v>7460250</v>
      </c>
      <c r="AI68" s="33">
        <v>400</v>
      </c>
      <c r="AJ68" s="33">
        <v>1522.5</v>
      </c>
      <c r="AK68" s="33">
        <v>609000</v>
      </c>
      <c r="AL68" s="33"/>
      <c r="AM68" s="33"/>
      <c r="AN68" s="33"/>
      <c r="AO68" s="33">
        <v>1000</v>
      </c>
      <c r="AP68" s="33">
        <v>1522.5</v>
      </c>
      <c r="AQ68" s="33">
        <v>1522500</v>
      </c>
      <c r="AR68" s="33">
        <v>700</v>
      </c>
      <c r="AS68" s="33">
        <v>1522.5</v>
      </c>
      <c r="AT68" s="33">
        <v>1065750</v>
      </c>
      <c r="AU68" s="33">
        <v>600</v>
      </c>
      <c r="AV68" s="33">
        <v>1522.5</v>
      </c>
      <c r="AW68" s="33">
        <v>913500</v>
      </c>
      <c r="AX68" s="33">
        <v>600</v>
      </c>
      <c r="AY68" s="33">
        <v>1522.5</v>
      </c>
      <c r="AZ68" s="33">
        <v>913500</v>
      </c>
      <c r="BA68" s="33">
        <v>500</v>
      </c>
      <c r="BB68" s="33">
        <v>1522.5</v>
      </c>
      <c r="BC68" s="33">
        <v>761250</v>
      </c>
      <c r="BD68" s="33">
        <v>500</v>
      </c>
      <c r="BE68" s="33">
        <v>1522.5</v>
      </c>
      <c r="BF68" s="33">
        <v>761250</v>
      </c>
      <c r="BG68" s="33">
        <v>200</v>
      </c>
      <c r="BH68" s="33">
        <v>1522.5</v>
      </c>
      <c r="BI68" s="33">
        <v>304500</v>
      </c>
      <c r="BJ68" s="33">
        <v>200</v>
      </c>
      <c r="BK68" s="33">
        <v>1522.5</v>
      </c>
      <c r="BL68" s="33">
        <v>304500</v>
      </c>
      <c r="BM68" s="33">
        <v>200</v>
      </c>
      <c r="BN68" s="33">
        <v>1522.5</v>
      </c>
      <c r="BO68" s="33">
        <f t="shared" si="136"/>
        <v>304500</v>
      </c>
      <c r="BP68" s="33"/>
      <c r="BQ68" s="33"/>
      <c r="BR68" s="33"/>
      <c r="BT68" s="65">
        <f t="shared" si="53"/>
        <v>4990</v>
      </c>
      <c r="BU68" s="33">
        <f t="shared" si="20"/>
        <v>1522.5</v>
      </c>
      <c r="BV68" s="65">
        <f t="shared" si="137"/>
        <v>7597275</v>
      </c>
      <c r="BW68" s="33">
        <v>410</v>
      </c>
      <c r="BX68" s="33">
        <v>1522.5</v>
      </c>
      <c r="BY68" s="33">
        <v>624225</v>
      </c>
      <c r="BZ68" s="33">
        <v>193</v>
      </c>
      <c r="CA68" s="33">
        <v>1522.5</v>
      </c>
      <c r="CB68" s="33">
        <v>293842.5</v>
      </c>
      <c r="CC68" s="33">
        <v>342</v>
      </c>
      <c r="CD68" s="33">
        <v>1522.5</v>
      </c>
      <c r="CE68" s="33">
        <v>520695</v>
      </c>
      <c r="CF68" s="33">
        <v>540</v>
      </c>
      <c r="CG68" s="33">
        <v>1522.5</v>
      </c>
      <c r="CH68" s="33">
        <v>822150</v>
      </c>
      <c r="CI68" s="33">
        <v>697</v>
      </c>
      <c r="CJ68" s="33">
        <v>1522.5</v>
      </c>
      <c r="CK68" s="33">
        <v>1061182.5</v>
      </c>
      <c r="CL68" s="33">
        <v>865</v>
      </c>
      <c r="CM68" s="33">
        <v>1522.5</v>
      </c>
      <c r="CN68" s="33">
        <v>1316962.5</v>
      </c>
      <c r="CO68" s="33">
        <v>671</v>
      </c>
      <c r="CP68" s="33">
        <v>1522.5</v>
      </c>
      <c r="CQ68" s="33">
        <v>1021597.5</v>
      </c>
      <c r="CR68" s="33">
        <v>422</v>
      </c>
      <c r="CS68" s="33">
        <v>1522.5</v>
      </c>
      <c r="CT68" s="33">
        <v>642495</v>
      </c>
      <c r="CU68" s="33">
        <v>394</v>
      </c>
      <c r="CV68" s="33">
        <v>1522.5</v>
      </c>
      <c r="CW68" s="33">
        <v>599865</v>
      </c>
      <c r="CX68" s="34">
        <v>270</v>
      </c>
      <c r="CY68" s="35">
        <v>1522.5</v>
      </c>
      <c r="CZ68" s="33">
        <v>411075</v>
      </c>
      <c r="DA68" s="34">
        <v>186</v>
      </c>
      <c r="DB68" s="33">
        <v>1522.5</v>
      </c>
      <c r="DC68" s="33">
        <v>283185</v>
      </c>
      <c r="DD68" s="33"/>
      <c r="DE68" s="33"/>
      <c r="DF68" s="66"/>
    </row>
    <row r="69" spans="1:110" ht="24.95" customHeight="1">
      <c r="A69" s="58">
        <v>51</v>
      </c>
      <c r="B69" s="86" t="s">
        <v>121</v>
      </c>
      <c r="C69" s="60" t="s">
        <v>50</v>
      </c>
      <c r="D69" s="75" t="s">
        <v>55</v>
      </c>
      <c r="E69" s="70" t="s">
        <v>127</v>
      </c>
      <c r="F69" s="60" t="s">
        <v>53</v>
      </c>
      <c r="G69" s="64">
        <v>887</v>
      </c>
      <c r="H69" s="76">
        <v>2172.4499999999998</v>
      </c>
      <c r="I69" s="64">
        <v>1926963.15</v>
      </c>
      <c r="J69" s="33">
        <v>1000</v>
      </c>
      <c r="K69" s="33">
        <v>2172.4499999999998</v>
      </c>
      <c r="L69" s="33">
        <f t="shared" si="108"/>
        <v>2172450</v>
      </c>
      <c r="M69" s="34">
        <v>1177</v>
      </c>
      <c r="N69" s="33">
        <f t="shared" si="133"/>
        <v>2172.4499999999998</v>
      </c>
      <c r="O69" s="33">
        <f t="shared" si="109"/>
        <v>2556973.65</v>
      </c>
      <c r="P69" s="137">
        <f t="shared" si="134"/>
        <v>710</v>
      </c>
      <c r="Q69" s="34">
        <f t="shared" si="138"/>
        <v>2172.4499999999998</v>
      </c>
      <c r="R69" s="33">
        <f t="shared" si="139"/>
        <v>1542439.4999999998</v>
      </c>
      <c r="S69" s="36">
        <v>46646</v>
      </c>
      <c r="T69" s="34">
        <v>7500</v>
      </c>
      <c r="U69" s="34">
        <v>2172.4499999999998</v>
      </c>
      <c r="V69" s="34">
        <v>16293375</v>
      </c>
      <c r="W69" s="34">
        <v>7198</v>
      </c>
      <c r="X69" s="34">
        <v>2172.4499999999998</v>
      </c>
      <c r="Y69" s="34">
        <v>15637295.099999998</v>
      </c>
      <c r="Z69" s="34">
        <v>1000</v>
      </c>
      <c r="AA69" s="33">
        <v>2172.4500000000003</v>
      </c>
      <c r="AB69" s="34">
        <f t="shared" si="135"/>
        <v>2172450.0000000005</v>
      </c>
      <c r="AC69" s="33">
        <v>408</v>
      </c>
      <c r="AD69" s="33">
        <v>2172.4499999999998</v>
      </c>
      <c r="AE69" s="33">
        <v>886359.6</v>
      </c>
      <c r="AF69" s="65">
        <f t="shared" si="21"/>
        <v>7500</v>
      </c>
      <c r="AG69" s="33">
        <f t="shared" si="18"/>
        <v>2172.4499999999998</v>
      </c>
      <c r="AH69" s="65">
        <f t="shared" si="52"/>
        <v>16293375</v>
      </c>
      <c r="AI69" s="33">
        <v>800</v>
      </c>
      <c r="AJ69" s="33">
        <v>2172.4499999999998</v>
      </c>
      <c r="AK69" s="33">
        <v>1737959.9999999998</v>
      </c>
      <c r="AL69" s="33"/>
      <c r="AM69" s="33"/>
      <c r="AN69" s="33"/>
      <c r="AO69" s="33">
        <v>900</v>
      </c>
      <c r="AP69" s="33">
        <v>2172.4499999999998</v>
      </c>
      <c r="AQ69" s="33">
        <v>1955204.9999999998</v>
      </c>
      <c r="AR69" s="33">
        <v>600</v>
      </c>
      <c r="AS69" s="33">
        <v>2172.4499999999998</v>
      </c>
      <c r="AT69" s="33">
        <v>1303470</v>
      </c>
      <c r="AU69" s="33">
        <v>600</v>
      </c>
      <c r="AV69" s="33">
        <v>2172.4499999999998</v>
      </c>
      <c r="AW69" s="33">
        <v>1303470</v>
      </c>
      <c r="AX69" s="33">
        <v>600</v>
      </c>
      <c r="AY69" s="33">
        <v>2172.4499999999998</v>
      </c>
      <c r="AZ69" s="33">
        <v>1303470</v>
      </c>
      <c r="BA69" s="33">
        <v>500</v>
      </c>
      <c r="BB69" s="33">
        <v>2172.4499999999998</v>
      </c>
      <c r="BC69" s="33">
        <v>1086225</v>
      </c>
      <c r="BD69" s="33">
        <v>500</v>
      </c>
      <c r="BE69" s="33">
        <v>2172.4499999999998</v>
      </c>
      <c r="BF69" s="33">
        <v>1086225</v>
      </c>
      <c r="BG69" s="33">
        <v>1000</v>
      </c>
      <c r="BH69" s="33">
        <v>2172.4499999999998</v>
      </c>
      <c r="BI69" s="33">
        <v>2172450</v>
      </c>
      <c r="BJ69" s="33">
        <v>1000</v>
      </c>
      <c r="BK69" s="33">
        <v>2172.4499999999998</v>
      </c>
      <c r="BL69" s="33">
        <v>2172450</v>
      </c>
      <c r="BM69" s="33">
        <v>1000</v>
      </c>
      <c r="BN69" s="33">
        <v>2172.4499999999998</v>
      </c>
      <c r="BO69" s="33">
        <f t="shared" si="136"/>
        <v>2172450</v>
      </c>
      <c r="BP69" s="33"/>
      <c r="BQ69" s="33"/>
      <c r="BR69" s="33"/>
      <c r="BT69" s="65">
        <f t="shared" si="53"/>
        <v>7198</v>
      </c>
      <c r="BU69" s="33">
        <f t="shared" si="20"/>
        <v>2172.4499999999998</v>
      </c>
      <c r="BV69" s="65">
        <f t="shared" si="137"/>
        <v>15637295.099999998</v>
      </c>
      <c r="BW69" s="33">
        <v>578</v>
      </c>
      <c r="BX69" s="33">
        <v>2172.4499999999998</v>
      </c>
      <c r="BY69" s="33">
        <v>1255676.0999999999</v>
      </c>
      <c r="BZ69" s="33">
        <v>560</v>
      </c>
      <c r="CA69" s="33">
        <v>2172.4499999999998</v>
      </c>
      <c r="CB69" s="33">
        <v>1216572</v>
      </c>
      <c r="CC69" s="33">
        <v>412</v>
      </c>
      <c r="CD69" s="33">
        <v>2172.4499999999998</v>
      </c>
      <c r="CE69" s="33">
        <v>895049.39999999991</v>
      </c>
      <c r="CF69" s="33">
        <v>621</v>
      </c>
      <c r="CG69" s="33">
        <v>2172.4499999999998</v>
      </c>
      <c r="CH69" s="33">
        <v>1349091.45</v>
      </c>
      <c r="CI69" s="33">
        <v>675</v>
      </c>
      <c r="CJ69" s="33">
        <v>2172.4499999999998</v>
      </c>
      <c r="CK69" s="33">
        <v>1466403.7499999998</v>
      </c>
      <c r="CL69" s="33">
        <v>623</v>
      </c>
      <c r="CM69" s="33">
        <v>2172.4499999999998</v>
      </c>
      <c r="CN69" s="33">
        <v>1353436.3499999999</v>
      </c>
      <c r="CO69" s="33">
        <v>588</v>
      </c>
      <c r="CP69" s="33">
        <v>2172.4499999999998</v>
      </c>
      <c r="CQ69" s="33">
        <v>1277400.5999999999</v>
      </c>
      <c r="CR69" s="33">
        <v>615</v>
      </c>
      <c r="CS69" s="33">
        <v>2172.4499999999998</v>
      </c>
      <c r="CT69" s="33">
        <v>1336056.75</v>
      </c>
      <c r="CU69" s="33">
        <v>586</v>
      </c>
      <c r="CV69" s="33">
        <v>2172.4500000000003</v>
      </c>
      <c r="CW69" s="33">
        <v>1273055.7000000002</v>
      </c>
      <c r="CX69" s="34">
        <v>763</v>
      </c>
      <c r="CY69" s="35">
        <v>2172.4499999999998</v>
      </c>
      <c r="CZ69" s="33">
        <v>1657579.3499999999</v>
      </c>
      <c r="DA69" s="34">
        <v>1177</v>
      </c>
      <c r="DB69" s="33">
        <v>2172.4499999999998</v>
      </c>
      <c r="DC69" s="33">
        <v>2556973.65</v>
      </c>
      <c r="DD69" s="33"/>
      <c r="DE69" s="33"/>
      <c r="DF69" s="66"/>
    </row>
    <row r="70" spans="1:110" ht="24.95" customHeight="1">
      <c r="A70" s="58">
        <v>52</v>
      </c>
      <c r="B70" s="86" t="s">
        <v>124</v>
      </c>
      <c r="C70" s="60" t="s">
        <v>50</v>
      </c>
      <c r="D70" s="75" t="s">
        <v>125</v>
      </c>
      <c r="E70" s="70" t="s">
        <v>128</v>
      </c>
      <c r="F70" s="60" t="s">
        <v>53</v>
      </c>
      <c r="G70" s="64">
        <v>614</v>
      </c>
      <c r="H70" s="76">
        <v>1625.4918855760366</v>
      </c>
      <c r="I70" s="64">
        <v>998052.01774368645</v>
      </c>
      <c r="J70" s="33">
        <v>600</v>
      </c>
      <c r="K70" s="33">
        <v>838.95</v>
      </c>
      <c r="L70" s="33">
        <f t="shared" si="108"/>
        <v>503370</v>
      </c>
      <c r="M70" s="34">
        <v>823</v>
      </c>
      <c r="N70" s="33">
        <f t="shared" si="133"/>
        <v>1236.7561925401042</v>
      </c>
      <c r="O70" s="33">
        <f>M70*N70</f>
        <v>1017850.3464605057</v>
      </c>
      <c r="P70" s="137">
        <f t="shared" si="134"/>
        <v>391</v>
      </c>
      <c r="Q70" s="34">
        <f t="shared" si="138"/>
        <v>1236.7561925401042</v>
      </c>
      <c r="R70" s="33">
        <f t="shared" si="139"/>
        <v>483571.67128318071</v>
      </c>
      <c r="S70" s="36">
        <v>47027</v>
      </c>
      <c r="T70" s="34">
        <v>3300</v>
      </c>
      <c r="U70" s="34">
        <v>1292.9636363636364</v>
      </c>
      <c r="V70" s="34">
        <v>4266780</v>
      </c>
      <c r="W70" s="34">
        <v>3129</v>
      </c>
      <c r="X70" s="34">
        <v>1268.0656211942535</v>
      </c>
      <c r="Y70" s="34">
        <v>3967777.3287168192</v>
      </c>
      <c r="Z70" s="34">
        <v>500</v>
      </c>
      <c r="AA70" s="33">
        <v>1623.3248556221195</v>
      </c>
      <c r="AB70" s="34">
        <f t="shared" si="135"/>
        <v>811662.42781105975</v>
      </c>
      <c r="AC70" s="33">
        <v>220</v>
      </c>
      <c r="AD70" s="33">
        <v>838.95</v>
      </c>
      <c r="AE70" s="33">
        <v>184569</v>
      </c>
      <c r="AF70" s="65">
        <f t="shared" si="21"/>
        <v>3300</v>
      </c>
      <c r="AG70" s="33">
        <f t="shared" si="18"/>
        <v>1292.9636363636364</v>
      </c>
      <c r="AH70" s="65">
        <f t="shared" si="52"/>
        <v>4266780</v>
      </c>
      <c r="AI70" s="33">
        <v>400</v>
      </c>
      <c r="AJ70" s="33">
        <v>838.95</v>
      </c>
      <c r="AK70" s="33">
        <v>335580</v>
      </c>
      <c r="AL70" s="33"/>
      <c r="AM70" s="33"/>
      <c r="AN70" s="33"/>
      <c r="AO70" s="33">
        <v>200</v>
      </c>
      <c r="AP70" s="33">
        <v>838.95</v>
      </c>
      <c r="AQ70" s="33">
        <v>167790</v>
      </c>
      <c r="AR70" s="33">
        <v>100</v>
      </c>
      <c r="AS70" s="33">
        <v>838.95</v>
      </c>
      <c r="AT70" s="33">
        <v>83895</v>
      </c>
      <c r="AU70" s="33">
        <v>100</v>
      </c>
      <c r="AV70" s="33">
        <v>838.95</v>
      </c>
      <c r="AW70" s="33">
        <v>83895</v>
      </c>
      <c r="AX70" s="33">
        <v>100</v>
      </c>
      <c r="AY70" s="33">
        <v>1627.5</v>
      </c>
      <c r="AZ70" s="33">
        <v>162750</v>
      </c>
      <c r="BA70" s="33">
        <v>100</v>
      </c>
      <c r="BB70" s="33">
        <v>1627.5</v>
      </c>
      <c r="BC70" s="33">
        <v>162750</v>
      </c>
      <c r="BD70" s="33">
        <v>500</v>
      </c>
      <c r="BE70" s="33">
        <v>1627.5</v>
      </c>
      <c r="BF70" s="33">
        <v>813750</v>
      </c>
      <c r="BG70" s="33">
        <v>600</v>
      </c>
      <c r="BH70" s="33">
        <v>1627.5</v>
      </c>
      <c r="BI70" s="33">
        <v>976500</v>
      </c>
      <c r="BJ70" s="33">
        <v>600</v>
      </c>
      <c r="BK70" s="33">
        <v>1627.5</v>
      </c>
      <c r="BL70" s="33">
        <v>976500</v>
      </c>
      <c r="BM70" s="33">
        <v>600</v>
      </c>
      <c r="BN70" s="33">
        <v>838.95</v>
      </c>
      <c r="BO70" s="33">
        <f t="shared" si="136"/>
        <v>503370</v>
      </c>
      <c r="BP70" s="33"/>
      <c r="BQ70" s="33"/>
      <c r="BR70" s="33"/>
      <c r="BT70" s="65">
        <f t="shared" si="53"/>
        <v>3129</v>
      </c>
      <c r="BU70" s="33">
        <f t="shared" si="20"/>
        <v>1268.0656211942535</v>
      </c>
      <c r="BV70" s="65">
        <f t="shared" si="137"/>
        <v>3967777.3287168192</v>
      </c>
      <c r="BW70" s="33">
        <v>216</v>
      </c>
      <c r="BX70" s="33">
        <v>838.95</v>
      </c>
      <c r="BY70" s="33">
        <v>181213.2</v>
      </c>
      <c r="BZ70" s="33">
        <v>275</v>
      </c>
      <c r="CA70" s="33">
        <v>838.95000000000016</v>
      </c>
      <c r="CB70" s="33">
        <v>230711.25000000006</v>
      </c>
      <c r="CC70" s="33">
        <v>165</v>
      </c>
      <c r="CD70" s="33">
        <v>838.95000000000016</v>
      </c>
      <c r="CE70" s="33">
        <v>138426.75000000003</v>
      </c>
      <c r="CF70" s="33">
        <v>190</v>
      </c>
      <c r="CG70" s="33">
        <v>838.95</v>
      </c>
      <c r="CH70" s="33">
        <v>159400.5</v>
      </c>
      <c r="CI70" s="33">
        <v>121</v>
      </c>
      <c r="CJ70" s="33">
        <v>838.94999999999993</v>
      </c>
      <c r="CK70" s="33">
        <v>101512.95</v>
      </c>
      <c r="CL70" s="33">
        <v>89</v>
      </c>
      <c r="CM70" s="33">
        <v>1354.3421568627452</v>
      </c>
      <c r="CN70" s="33">
        <v>120536.45196078432</v>
      </c>
      <c r="CO70" s="33">
        <v>112</v>
      </c>
      <c r="CP70" s="33">
        <v>1520.9018173122909</v>
      </c>
      <c r="CQ70" s="33">
        <v>170341.00353897657</v>
      </c>
      <c r="CR70" s="33">
        <v>125</v>
      </c>
      <c r="CS70" s="33">
        <v>1617.4581422105782</v>
      </c>
      <c r="CT70" s="33">
        <v>202182.26777632229</v>
      </c>
      <c r="CU70" s="33">
        <v>471</v>
      </c>
      <c r="CV70" s="33">
        <v>1623.3248556221195</v>
      </c>
      <c r="CW70" s="33">
        <v>764586.00699801825</v>
      </c>
      <c r="CX70" s="34">
        <v>542</v>
      </c>
      <c r="CY70" s="35">
        <v>1625.4918855760366</v>
      </c>
      <c r="CZ70" s="33">
        <v>881016.60198221181</v>
      </c>
      <c r="DA70" s="34">
        <v>823</v>
      </c>
      <c r="DB70" s="33">
        <v>1236.7561925401042</v>
      </c>
      <c r="DC70" s="33">
        <v>1017850.3464605057</v>
      </c>
      <c r="DD70" s="33"/>
      <c r="DE70" s="33"/>
      <c r="DF70" s="66"/>
    </row>
    <row r="71" spans="1:110" ht="24.95" customHeight="1">
      <c r="A71" s="58">
        <v>53</v>
      </c>
      <c r="B71" s="84" t="s">
        <v>122</v>
      </c>
      <c r="C71" s="60" t="s">
        <v>50</v>
      </c>
      <c r="D71" s="75" t="s">
        <v>55</v>
      </c>
      <c r="E71" s="70" t="s">
        <v>129</v>
      </c>
      <c r="F71" s="60" t="s">
        <v>53</v>
      </c>
      <c r="G71" s="64">
        <v>689</v>
      </c>
      <c r="H71" s="76">
        <v>1063.6499999999944</v>
      </c>
      <c r="I71" s="64">
        <v>732854.84999999614</v>
      </c>
      <c r="J71" s="33">
        <v>1200</v>
      </c>
      <c r="K71" s="33">
        <v>1063.6500000000001</v>
      </c>
      <c r="L71" s="33">
        <f t="shared" si="108"/>
        <v>1276380</v>
      </c>
      <c r="M71" s="34">
        <v>1046</v>
      </c>
      <c r="N71" s="33">
        <f t="shared" si="133"/>
        <v>1063.649999999998</v>
      </c>
      <c r="O71" s="33">
        <f t="shared" si="109"/>
        <v>1112577.899999998</v>
      </c>
      <c r="P71" s="137">
        <f t="shared" si="134"/>
        <v>843</v>
      </c>
      <c r="Q71" s="34">
        <f t="shared" si="138"/>
        <v>1063.649999999998</v>
      </c>
      <c r="R71" s="33">
        <f t="shared" si="139"/>
        <v>896656.94999999832</v>
      </c>
      <c r="S71" s="36">
        <v>46878</v>
      </c>
      <c r="T71" s="34">
        <v>9500</v>
      </c>
      <c r="U71" s="34">
        <v>1063.6500000000001</v>
      </c>
      <c r="V71" s="34">
        <v>10104675</v>
      </c>
      <c r="W71" s="34">
        <v>9161</v>
      </c>
      <c r="X71" s="34">
        <v>1063.6499998073725</v>
      </c>
      <c r="Y71" s="34">
        <v>9744097.6482353397</v>
      </c>
      <c r="Z71" s="34">
        <v>1200</v>
      </c>
      <c r="AA71" s="33">
        <v>1063.6499999999783</v>
      </c>
      <c r="AB71" s="34">
        <f t="shared" si="135"/>
        <v>1276379.9999999739</v>
      </c>
      <c r="AC71" s="33">
        <v>504</v>
      </c>
      <c r="AD71" s="33">
        <v>1063.6499964986851</v>
      </c>
      <c r="AE71" s="33">
        <v>536079.5982353373</v>
      </c>
      <c r="AF71" s="65">
        <f t="shared" si="21"/>
        <v>9500</v>
      </c>
      <c r="AG71" s="33">
        <f t="shared" si="18"/>
        <v>1063.6500000000001</v>
      </c>
      <c r="AH71" s="65">
        <f t="shared" si="52"/>
        <v>10104675</v>
      </c>
      <c r="AI71" s="33">
        <v>1100</v>
      </c>
      <c r="AJ71" s="33">
        <v>1063.6500000000001</v>
      </c>
      <c r="AK71" s="33">
        <v>1170015</v>
      </c>
      <c r="AL71" s="33"/>
      <c r="AM71" s="33"/>
      <c r="AN71" s="33"/>
      <c r="AO71" s="33">
        <v>800</v>
      </c>
      <c r="AP71" s="33">
        <v>1063.6500000000001</v>
      </c>
      <c r="AQ71" s="33">
        <v>850920.00000000012</v>
      </c>
      <c r="AR71" s="33">
        <v>800</v>
      </c>
      <c r="AS71" s="33">
        <v>1063.6500000000001</v>
      </c>
      <c r="AT71" s="33">
        <v>850920.00000000012</v>
      </c>
      <c r="AU71" s="33">
        <v>800</v>
      </c>
      <c r="AV71" s="33">
        <v>1063.6500000000001</v>
      </c>
      <c r="AW71" s="33">
        <v>850920.00000000012</v>
      </c>
      <c r="AX71" s="33">
        <v>800</v>
      </c>
      <c r="AY71" s="33">
        <v>1063.6500000000001</v>
      </c>
      <c r="AZ71" s="33">
        <v>850920.00000000012</v>
      </c>
      <c r="BA71" s="33">
        <v>800</v>
      </c>
      <c r="BB71" s="33">
        <v>1063.6500000000001</v>
      </c>
      <c r="BC71" s="33">
        <v>850920.00000000012</v>
      </c>
      <c r="BD71" s="33">
        <v>800</v>
      </c>
      <c r="BE71" s="33">
        <v>1063.6500000000001</v>
      </c>
      <c r="BF71" s="33">
        <v>850920.00000000012</v>
      </c>
      <c r="BG71" s="33">
        <v>1200</v>
      </c>
      <c r="BH71" s="33">
        <v>1063.6500000000001</v>
      </c>
      <c r="BI71" s="33">
        <v>1276380</v>
      </c>
      <c r="BJ71" s="33">
        <v>1200</v>
      </c>
      <c r="BK71" s="33">
        <v>1063.6500000000001</v>
      </c>
      <c r="BL71" s="33">
        <v>1276380</v>
      </c>
      <c r="BM71" s="33">
        <v>1200</v>
      </c>
      <c r="BN71" s="33">
        <v>1063.6500000000001</v>
      </c>
      <c r="BO71" s="33">
        <f t="shared" si="136"/>
        <v>1276380</v>
      </c>
      <c r="BP71" s="33"/>
      <c r="BQ71" s="33"/>
      <c r="BR71" s="33"/>
      <c r="BT71" s="65">
        <f t="shared" si="53"/>
        <v>9161</v>
      </c>
      <c r="BU71" s="33">
        <f t="shared" si="20"/>
        <v>1063.6499998073725</v>
      </c>
      <c r="BV71" s="65">
        <f t="shared" si="137"/>
        <v>9744097.6482353397</v>
      </c>
      <c r="BW71" s="33">
        <v>712</v>
      </c>
      <c r="BX71" s="33">
        <v>1063.6499988998362</v>
      </c>
      <c r="BY71" s="33">
        <v>757318.79921668337</v>
      </c>
      <c r="BZ71" s="33">
        <v>703</v>
      </c>
      <c r="CA71" s="33">
        <v>1063.6499988998362</v>
      </c>
      <c r="CB71" s="33">
        <v>747745.94922658487</v>
      </c>
      <c r="CC71" s="33">
        <v>546</v>
      </c>
      <c r="CD71" s="33">
        <v>1063.6499997897563</v>
      </c>
      <c r="CE71" s="33">
        <v>580752.89988520695</v>
      </c>
      <c r="CF71" s="33">
        <v>761</v>
      </c>
      <c r="CG71" s="33">
        <v>1063.64999992507</v>
      </c>
      <c r="CH71" s="33">
        <v>809437.64994297829</v>
      </c>
      <c r="CI71" s="33">
        <v>893</v>
      </c>
      <c r="CJ71" s="33">
        <v>1063.6499999718283</v>
      </c>
      <c r="CK71" s="33">
        <v>949839.4499748426</v>
      </c>
      <c r="CL71" s="33">
        <v>914</v>
      </c>
      <c r="CM71" s="33">
        <v>1063.6499999907833</v>
      </c>
      <c r="CN71" s="33">
        <v>972176.09999157593</v>
      </c>
      <c r="CO71" s="33">
        <v>873</v>
      </c>
      <c r="CP71" s="33">
        <v>1063.6499999976422</v>
      </c>
      <c r="CQ71" s="33">
        <v>928566.44999794161</v>
      </c>
      <c r="CR71" s="33">
        <v>945</v>
      </c>
      <c r="CS71" s="33">
        <v>1063.6499999995249</v>
      </c>
      <c r="CT71" s="33">
        <v>1005149.249999551</v>
      </c>
      <c r="CU71" s="33">
        <v>845</v>
      </c>
      <c r="CV71" s="33">
        <v>1063.6499999999783</v>
      </c>
      <c r="CW71" s="33">
        <v>898784.24999998161</v>
      </c>
      <c r="CX71" s="34">
        <v>923</v>
      </c>
      <c r="CY71" s="35">
        <v>1063.6499999999944</v>
      </c>
      <c r="CZ71" s="33">
        <v>981748.94999999483</v>
      </c>
      <c r="DA71" s="34">
        <v>1046</v>
      </c>
      <c r="DB71" s="33">
        <v>1063.649999999998</v>
      </c>
      <c r="DC71" s="33">
        <v>1112577.899999998</v>
      </c>
      <c r="DD71" s="33"/>
      <c r="DE71" s="33"/>
      <c r="DF71" s="66"/>
    </row>
    <row r="72" spans="1:110" ht="24.95" customHeight="1">
      <c r="A72" s="58">
        <v>54</v>
      </c>
      <c r="B72" s="84" t="s">
        <v>157</v>
      </c>
      <c r="C72" s="60" t="s">
        <v>158</v>
      </c>
      <c r="D72" s="75" t="s">
        <v>159</v>
      </c>
      <c r="E72" s="70" t="s">
        <v>56</v>
      </c>
      <c r="F72" s="60" t="s">
        <v>53</v>
      </c>
      <c r="G72" s="64">
        <v>0</v>
      </c>
      <c r="H72" s="76">
        <v>2882.25</v>
      </c>
      <c r="I72" s="76">
        <v>0</v>
      </c>
      <c r="J72" s="33"/>
      <c r="K72" s="33">
        <v>0</v>
      </c>
      <c r="L72" s="33">
        <f t="shared" si="108"/>
        <v>0</v>
      </c>
      <c r="M72" s="34"/>
      <c r="N72" s="33">
        <f t="shared" si="133"/>
        <v>0</v>
      </c>
      <c r="O72" s="33">
        <f t="shared" si="109"/>
        <v>0</v>
      </c>
      <c r="P72" s="137">
        <f t="shared" si="134"/>
        <v>0</v>
      </c>
      <c r="Q72" s="34">
        <f t="shared" si="138"/>
        <v>0</v>
      </c>
      <c r="R72" s="33">
        <f t="shared" si="139"/>
        <v>0</v>
      </c>
      <c r="S72" s="36">
        <v>46070</v>
      </c>
      <c r="T72" s="34">
        <v>0</v>
      </c>
      <c r="U72" s="34">
        <v>0</v>
      </c>
      <c r="V72" s="34">
        <v>0</v>
      </c>
      <c r="W72" s="34">
        <v>100</v>
      </c>
      <c r="X72" s="34">
        <v>2882.25</v>
      </c>
      <c r="Y72" s="34">
        <v>288225</v>
      </c>
      <c r="Z72" s="34">
        <v>50</v>
      </c>
      <c r="AA72" s="33">
        <v>2882.25</v>
      </c>
      <c r="AB72" s="34">
        <f t="shared" si="135"/>
        <v>144112.5</v>
      </c>
      <c r="AC72" s="33">
        <v>100</v>
      </c>
      <c r="AD72" s="33">
        <v>2882.25</v>
      </c>
      <c r="AE72" s="33">
        <v>288225</v>
      </c>
      <c r="AF72" s="65">
        <f t="shared" si="21"/>
        <v>0</v>
      </c>
      <c r="AG72" s="33">
        <f t="shared" si="18"/>
        <v>0</v>
      </c>
      <c r="AH72" s="65">
        <f t="shared" si="52"/>
        <v>0</v>
      </c>
      <c r="AI72" s="33"/>
      <c r="AJ72" s="33">
        <v>0</v>
      </c>
      <c r="AK72" s="33">
        <v>0</v>
      </c>
      <c r="AL72" s="33"/>
      <c r="AM72" s="33"/>
      <c r="AN72" s="33"/>
      <c r="AO72" s="33"/>
      <c r="AP72" s="33"/>
      <c r="AQ72" s="33"/>
      <c r="AR72" s="33"/>
      <c r="AS72" s="33">
        <v>0</v>
      </c>
      <c r="AT72" s="33">
        <v>0</v>
      </c>
      <c r="AU72" s="33"/>
      <c r="AV72" s="33">
        <v>0</v>
      </c>
      <c r="AW72" s="33">
        <v>0</v>
      </c>
      <c r="AX72" s="33"/>
      <c r="AY72" s="33">
        <v>0</v>
      </c>
      <c r="AZ72" s="33">
        <v>0</v>
      </c>
      <c r="BA72" s="33"/>
      <c r="BB72" s="33">
        <v>0</v>
      </c>
      <c r="BC72" s="33">
        <v>0</v>
      </c>
      <c r="BD72" s="33"/>
      <c r="BE72" s="33"/>
      <c r="BF72" s="33">
        <v>0</v>
      </c>
      <c r="BG72" s="33"/>
      <c r="BH72" s="33"/>
      <c r="BI72" s="33">
        <v>0</v>
      </c>
      <c r="BJ72" s="33"/>
      <c r="BK72" s="33">
        <v>0</v>
      </c>
      <c r="BL72" s="33">
        <v>0</v>
      </c>
      <c r="BM72" s="33"/>
      <c r="BN72" s="33">
        <v>0</v>
      </c>
      <c r="BO72" s="33">
        <f t="shared" si="136"/>
        <v>0</v>
      </c>
      <c r="BP72" s="33"/>
      <c r="BQ72" s="33"/>
      <c r="BR72" s="33"/>
      <c r="BT72" s="65">
        <f t="shared" si="53"/>
        <v>100</v>
      </c>
      <c r="BU72" s="33">
        <f t="shared" si="20"/>
        <v>2882.25</v>
      </c>
      <c r="BV72" s="65">
        <f t="shared" si="137"/>
        <v>288225</v>
      </c>
      <c r="BW72" s="33">
        <v>48</v>
      </c>
      <c r="BX72" s="33">
        <v>2882.25</v>
      </c>
      <c r="BY72" s="33">
        <v>138348</v>
      </c>
      <c r="BZ72" s="33">
        <v>43</v>
      </c>
      <c r="CA72" s="33">
        <v>2882.25</v>
      </c>
      <c r="CB72" s="33">
        <v>123936.75</v>
      </c>
      <c r="CC72" s="33">
        <v>3</v>
      </c>
      <c r="CD72" s="33">
        <v>2882.25</v>
      </c>
      <c r="CE72" s="33">
        <v>8646.75</v>
      </c>
      <c r="CF72" s="33">
        <v>2</v>
      </c>
      <c r="CG72" s="33">
        <v>2882.25</v>
      </c>
      <c r="CH72" s="33">
        <v>5764.5</v>
      </c>
      <c r="CI72" s="33">
        <v>1</v>
      </c>
      <c r="CJ72" s="33">
        <v>2882.25</v>
      </c>
      <c r="CK72" s="33">
        <v>2882.25</v>
      </c>
      <c r="CL72" s="33"/>
      <c r="CM72" s="33">
        <v>2882.25</v>
      </c>
      <c r="CN72" s="33">
        <v>0</v>
      </c>
      <c r="CO72" s="33"/>
      <c r="CP72" s="33">
        <v>2882.25</v>
      </c>
      <c r="CQ72" s="33">
        <v>0</v>
      </c>
      <c r="CR72" s="33"/>
      <c r="CS72" s="33">
        <v>2882.25</v>
      </c>
      <c r="CT72" s="33">
        <v>0</v>
      </c>
      <c r="CU72" s="33">
        <v>1</v>
      </c>
      <c r="CV72" s="33">
        <v>2882.25</v>
      </c>
      <c r="CW72" s="33">
        <v>2882.25</v>
      </c>
      <c r="CX72" s="34">
        <v>2</v>
      </c>
      <c r="CY72" s="35">
        <v>2882.25</v>
      </c>
      <c r="CZ72" s="33">
        <v>5764.5</v>
      </c>
      <c r="DA72" s="34"/>
      <c r="DB72" s="33">
        <v>0</v>
      </c>
      <c r="DC72" s="33">
        <v>0</v>
      </c>
      <c r="DD72" s="33"/>
      <c r="DE72" s="33"/>
      <c r="DF72" s="66"/>
    </row>
    <row r="73" spans="1:110" s="25" customFormat="1" ht="24.95" customHeight="1">
      <c r="A73" s="46" t="s">
        <v>27</v>
      </c>
      <c r="B73" s="47"/>
      <c r="C73" s="78"/>
      <c r="D73" s="79"/>
      <c r="E73" s="80"/>
      <c r="F73" s="51"/>
      <c r="G73" s="81">
        <f>SUM(G74:G78)</f>
        <v>1690</v>
      </c>
      <c r="H73" s="53"/>
      <c r="I73" s="81">
        <f>SUM(I74:I78)</f>
        <v>1034899.8336825374</v>
      </c>
      <c r="J73" s="81">
        <f>SUM(J74:J78)</f>
        <v>2400</v>
      </c>
      <c r="K73" s="53"/>
      <c r="L73" s="81">
        <f>SUM(L74:L78)</f>
        <v>1404240</v>
      </c>
      <c r="M73" s="81">
        <f>SUM(M74:M78)</f>
        <v>2664</v>
      </c>
      <c r="N73" s="53"/>
      <c r="O73" s="81">
        <f>SUM(O74:O78)</f>
        <v>1562345.4692427483</v>
      </c>
      <c r="P73" s="81">
        <f>SUM(P74:P78)</f>
        <v>1426</v>
      </c>
      <c r="Q73" s="54"/>
      <c r="R73" s="81">
        <f>SUM(R74:R78)</f>
        <v>876794.36443978932</v>
      </c>
      <c r="S73" s="56"/>
      <c r="T73" s="55">
        <v>22900</v>
      </c>
      <c r="U73" s="55">
        <v>596.87947598253277</v>
      </c>
      <c r="V73" s="55">
        <v>13668540</v>
      </c>
      <c r="W73" s="55">
        <v>22288</v>
      </c>
      <c r="X73" s="55">
        <v>596.82295596105519</v>
      </c>
      <c r="Y73" s="55">
        <v>13301990.042459998</v>
      </c>
      <c r="Z73" s="81">
        <f>SUM(Z74:Z78)</f>
        <v>3000</v>
      </c>
      <c r="AA73" s="53"/>
      <c r="AB73" s="81">
        <f>SUM(AB74:AB78)</f>
        <v>1863984.711095239</v>
      </c>
      <c r="AC73" s="81">
        <f>SUM(AC74:AC78)</f>
        <v>814</v>
      </c>
      <c r="AD73" s="54"/>
      <c r="AE73" s="81">
        <f>SUM(AE74:AE78)</f>
        <v>510254.91866693326</v>
      </c>
      <c r="AF73" s="81">
        <f>SUM(AF74:AF78)</f>
        <v>22900</v>
      </c>
      <c r="AG73" s="52">
        <f>IFERROR(AH73/AF73,0)</f>
        <v>596.87947598253277</v>
      </c>
      <c r="AH73" s="81">
        <f>SUM(AH74:AH78)</f>
        <v>13668540</v>
      </c>
      <c r="AI73" s="81"/>
      <c r="AJ73" s="81"/>
      <c r="AK73" s="81">
        <f t="shared" ref="AK73:BR73" si="140">SUM(AK74:AK78)</f>
        <v>1273335</v>
      </c>
      <c r="AL73" s="81"/>
      <c r="AM73" s="81"/>
      <c r="AN73" s="81">
        <f t="shared" si="140"/>
        <v>0</v>
      </c>
      <c r="AO73" s="81"/>
      <c r="AP73" s="81"/>
      <c r="AQ73" s="81">
        <f t="shared" si="140"/>
        <v>1280370</v>
      </c>
      <c r="AR73" s="81"/>
      <c r="AS73" s="81"/>
      <c r="AT73" s="81">
        <f t="shared" si="140"/>
        <v>1201305</v>
      </c>
      <c r="AU73" s="81"/>
      <c r="AV73" s="81"/>
      <c r="AW73" s="81">
        <f t="shared" si="140"/>
        <v>1302825</v>
      </c>
      <c r="AX73" s="81"/>
      <c r="AY73" s="81"/>
      <c r="AZ73" s="81">
        <f t="shared" si="140"/>
        <v>1266405</v>
      </c>
      <c r="BA73" s="81"/>
      <c r="BB73" s="81"/>
      <c r="BC73" s="81">
        <f t="shared" si="140"/>
        <v>1491945</v>
      </c>
      <c r="BD73" s="81"/>
      <c r="BE73" s="81"/>
      <c r="BF73" s="81">
        <f t="shared" si="140"/>
        <v>1501080</v>
      </c>
      <c r="BG73" s="81">
        <v>2500</v>
      </c>
      <c r="BH73" s="81"/>
      <c r="BI73" s="81">
        <v>1492995</v>
      </c>
      <c r="BJ73" s="81"/>
      <c r="BK73" s="81"/>
      <c r="BL73" s="81">
        <f t="shared" si="140"/>
        <v>1454040</v>
      </c>
      <c r="BM73" s="81"/>
      <c r="BN73" s="81"/>
      <c r="BO73" s="81">
        <f t="shared" si="140"/>
        <v>1404240</v>
      </c>
      <c r="BP73" s="81"/>
      <c r="BQ73" s="81"/>
      <c r="BR73" s="81">
        <f t="shared" si="140"/>
        <v>0</v>
      </c>
      <c r="BT73" s="81">
        <f>SUM(BT74:BT78)</f>
        <v>22288</v>
      </c>
      <c r="BU73" s="52">
        <f>IFERROR(BV73/BT73,0)</f>
        <v>596.82295596105519</v>
      </c>
      <c r="BV73" s="81">
        <f>SUM(BV74:BV78)</f>
        <v>13301990.042459998</v>
      </c>
      <c r="BW73" s="53"/>
      <c r="BX73" s="53"/>
      <c r="BY73" s="81">
        <f>SUM(BY74:BY78)</f>
        <v>1085469.9107277887</v>
      </c>
      <c r="BZ73" s="53"/>
      <c r="CA73" s="53"/>
      <c r="CB73" s="81">
        <f>SUM(CB74:CB78)</f>
        <v>558920.5650810505</v>
      </c>
      <c r="CC73" s="53"/>
      <c r="CD73" s="53"/>
      <c r="CE73" s="81">
        <f t="shared" ref="CE73" si="141">SUM(CE74:CE78)</f>
        <v>808030.81745638303</v>
      </c>
      <c r="CF73" s="53"/>
      <c r="CG73" s="53"/>
      <c r="CH73" s="81">
        <f t="shared" ref="CH73" si="142">SUM(CH74:CH78)</f>
        <v>1078884.7012244309</v>
      </c>
      <c r="CI73" s="53"/>
      <c r="CJ73" s="53"/>
      <c r="CK73" s="81">
        <f t="shared" ref="CK73" si="143">SUM(CK74:CK78)</f>
        <v>1195468.4423916899</v>
      </c>
      <c r="CL73" s="53"/>
      <c r="CM73" s="53"/>
      <c r="CN73" s="81">
        <f t="shared" ref="CN73" si="144">SUM(CN74:CN78)</f>
        <v>1282190.709489414</v>
      </c>
      <c r="CO73" s="53"/>
      <c r="CP73" s="53"/>
      <c r="CQ73" s="81">
        <f>SUM(CQ74:CQ78)</f>
        <v>1575438.7855209254</v>
      </c>
      <c r="CR73" s="53"/>
      <c r="CS73" s="53"/>
      <c r="CT73" s="81">
        <f t="shared" ref="CT73" si="145">SUM(CT74:CT78)</f>
        <v>1288420.6527661618</v>
      </c>
      <c r="CU73" s="53">
        <v>2271</v>
      </c>
      <c r="CV73" s="53"/>
      <c r="CW73" s="81">
        <v>1406994.7848648254</v>
      </c>
      <c r="CX73" s="81">
        <f>SUM(CX74:CX78)</f>
        <v>2470</v>
      </c>
      <c r="CY73" s="53"/>
      <c r="CZ73" s="81">
        <f>SUM(CZ74:CZ78)</f>
        <v>1459825.2036945799</v>
      </c>
      <c r="DA73" s="53"/>
      <c r="DB73" s="53"/>
      <c r="DC73" s="81">
        <f t="shared" ref="DC73" si="146">SUM(DC74:DC78)</f>
        <v>1562345.4692427483</v>
      </c>
      <c r="DD73" s="53"/>
      <c r="DE73" s="53"/>
      <c r="DF73" s="82">
        <f t="shared" ref="DF73" si="147">SUM(DF74:DF78)</f>
        <v>0</v>
      </c>
    </row>
    <row r="74" spans="1:110" ht="24.95" customHeight="1">
      <c r="A74" s="58">
        <v>55</v>
      </c>
      <c r="B74" s="86" t="s">
        <v>175</v>
      </c>
      <c r="C74" s="60" t="s">
        <v>50</v>
      </c>
      <c r="D74" s="75" t="s">
        <v>75</v>
      </c>
      <c r="E74" s="70" t="s">
        <v>56</v>
      </c>
      <c r="F74" s="60" t="s">
        <v>53</v>
      </c>
      <c r="G74" s="64">
        <v>226</v>
      </c>
      <c r="H74" s="76">
        <v>415.47316712344139</v>
      </c>
      <c r="I74" s="76">
        <v>93896.935769897755</v>
      </c>
      <c r="J74" s="33">
        <v>400</v>
      </c>
      <c r="K74" s="33">
        <v>389.55</v>
      </c>
      <c r="L74" s="33">
        <f t="shared" si="108"/>
        <v>155820</v>
      </c>
      <c r="M74" s="34">
        <v>457</v>
      </c>
      <c r="N74" s="33">
        <f>IFERROR((G74*H74+J74*K74)/(G74+J74),0)</f>
        <v>398.90884308290379</v>
      </c>
      <c r="O74" s="33">
        <f t="shared" si="109"/>
        <v>182301.34128888702</v>
      </c>
      <c r="P74" s="137">
        <f>G74+J74-M74</f>
        <v>169</v>
      </c>
      <c r="Q74" s="34">
        <f>N74</f>
        <v>398.90884308290379</v>
      </c>
      <c r="R74" s="33">
        <f>P74*Q74</f>
        <v>67415.594481010747</v>
      </c>
      <c r="S74" s="36">
        <v>46732</v>
      </c>
      <c r="T74" s="34">
        <v>5500</v>
      </c>
      <c r="U74" s="34">
        <v>406.63636363636363</v>
      </c>
      <c r="V74" s="34">
        <v>2236500</v>
      </c>
      <c r="W74" s="34">
        <v>5531</v>
      </c>
      <c r="X74" s="34">
        <v>407.52943847151016</v>
      </c>
      <c r="Y74" s="34">
        <v>2254045.3241859227</v>
      </c>
      <c r="Z74" s="34">
        <v>400</v>
      </c>
      <c r="AA74" s="33">
        <v>440.58035077810621</v>
      </c>
      <c r="AB74" s="34">
        <f t="shared" ref="AB74:AB78" si="148">Z74*AA74</f>
        <v>176232.14031124249</v>
      </c>
      <c r="AC74" s="33">
        <v>200</v>
      </c>
      <c r="AD74" s="33">
        <v>424.80459333466632</v>
      </c>
      <c r="AE74" s="33">
        <v>84960.91866693327</v>
      </c>
      <c r="AF74" s="65">
        <f t="shared" si="21"/>
        <v>5500</v>
      </c>
      <c r="AG74" s="33">
        <f t="shared" si="18"/>
        <v>406.63636363636363</v>
      </c>
      <c r="AH74" s="65">
        <f t="shared" si="52"/>
        <v>2236500</v>
      </c>
      <c r="AI74" s="33">
        <v>500</v>
      </c>
      <c r="AJ74" s="33">
        <v>389.55</v>
      </c>
      <c r="AK74" s="33">
        <v>194775</v>
      </c>
      <c r="AL74" s="33"/>
      <c r="AM74" s="33"/>
      <c r="AN74" s="33"/>
      <c r="AO74" s="33">
        <v>600</v>
      </c>
      <c r="AP74" s="33">
        <v>389.55</v>
      </c>
      <c r="AQ74" s="33">
        <v>233730</v>
      </c>
      <c r="AR74" s="33">
        <v>700</v>
      </c>
      <c r="AS74" s="33">
        <v>389.55</v>
      </c>
      <c r="AT74" s="33">
        <v>272685</v>
      </c>
      <c r="AU74" s="33">
        <v>700</v>
      </c>
      <c r="AV74" s="33">
        <v>389.55</v>
      </c>
      <c r="AW74" s="33">
        <v>272685</v>
      </c>
      <c r="AX74" s="33">
        <v>700</v>
      </c>
      <c r="AY74" s="33">
        <v>389.55</v>
      </c>
      <c r="AZ74" s="33">
        <v>272685</v>
      </c>
      <c r="BA74" s="33">
        <v>500</v>
      </c>
      <c r="BB74" s="33">
        <v>389.55</v>
      </c>
      <c r="BC74" s="33">
        <v>194775</v>
      </c>
      <c r="BD74" s="33">
        <v>500</v>
      </c>
      <c r="BE74" s="33">
        <v>577.5</v>
      </c>
      <c r="BF74" s="33">
        <v>288750</v>
      </c>
      <c r="BG74" s="33">
        <v>500</v>
      </c>
      <c r="BH74" s="33">
        <v>389.55</v>
      </c>
      <c r="BI74" s="33">
        <v>194775</v>
      </c>
      <c r="BJ74" s="33">
        <v>400</v>
      </c>
      <c r="BK74" s="33">
        <v>389.55</v>
      </c>
      <c r="BL74" s="33">
        <v>155820</v>
      </c>
      <c r="BM74" s="33">
        <v>400</v>
      </c>
      <c r="BN74" s="33">
        <v>389.55</v>
      </c>
      <c r="BO74" s="33">
        <f t="shared" ref="BO74:BO78" si="149">BM74*BN74</f>
        <v>155820</v>
      </c>
      <c r="BP74" s="33"/>
      <c r="BQ74" s="33"/>
      <c r="BR74" s="33"/>
      <c r="BT74" s="65">
        <f t="shared" si="53"/>
        <v>5531</v>
      </c>
      <c r="BU74" s="33">
        <f t="shared" si="20"/>
        <v>407.52943847151016</v>
      </c>
      <c r="BV74" s="65">
        <f t="shared" si="137"/>
        <v>2254045.3241859227</v>
      </c>
      <c r="BW74" s="33">
        <v>386</v>
      </c>
      <c r="BX74" s="33">
        <v>399.62274095276177</v>
      </c>
      <c r="BY74" s="33">
        <v>154254.37800776603</v>
      </c>
      <c r="BZ74" s="33">
        <v>299</v>
      </c>
      <c r="CA74" s="33">
        <v>399.62274095276177</v>
      </c>
      <c r="CB74" s="33">
        <v>119487.19954487577</v>
      </c>
      <c r="CC74" s="33">
        <v>411</v>
      </c>
      <c r="CD74" s="33">
        <v>389.79567660860397</v>
      </c>
      <c r="CE74" s="33">
        <v>160206.02308613624</v>
      </c>
      <c r="CF74" s="33">
        <v>497</v>
      </c>
      <c r="CG74" s="33">
        <v>389.60544029663185</v>
      </c>
      <c r="CH74" s="33">
        <v>193633.90382742602</v>
      </c>
      <c r="CI74" s="33">
        <v>497</v>
      </c>
      <c r="CJ74" s="33">
        <v>389.57038319849067</v>
      </c>
      <c r="CK74" s="33">
        <v>193616.48044964985</v>
      </c>
      <c r="CL74" s="33">
        <v>645</v>
      </c>
      <c r="CM74" s="33">
        <v>389.55949141303762</v>
      </c>
      <c r="CN74" s="33">
        <v>251265.87196140926</v>
      </c>
      <c r="CO74" s="33">
        <v>688</v>
      </c>
      <c r="CP74" s="33">
        <v>389.55541784521034</v>
      </c>
      <c r="CQ74" s="33">
        <v>268014.12747750472</v>
      </c>
      <c r="CR74" s="33">
        <v>412</v>
      </c>
      <c r="CS74" s="33">
        <v>485.73995323660733</v>
      </c>
      <c r="CT74" s="33">
        <v>200124.86073348223</v>
      </c>
      <c r="CU74" s="33">
        <v>652</v>
      </c>
      <c r="CV74" s="33">
        <v>440.58035077810621</v>
      </c>
      <c r="CW74" s="33">
        <v>287258.38870732527</v>
      </c>
      <c r="CX74" s="34">
        <v>587</v>
      </c>
      <c r="CY74" s="35">
        <v>415.47316712344139</v>
      </c>
      <c r="CZ74" s="33">
        <v>243882.7491014601</v>
      </c>
      <c r="DA74" s="34">
        <v>457</v>
      </c>
      <c r="DB74" s="33">
        <v>398.90884308290379</v>
      </c>
      <c r="DC74" s="33">
        <v>182301.34128888702</v>
      </c>
      <c r="DD74" s="33"/>
      <c r="DE74" s="33"/>
      <c r="DF74" s="66"/>
    </row>
    <row r="75" spans="1:110" ht="24.95" customHeight="1">
      <c r="A75" s="58">
        <v>56</v>
      </c>
      <c r="B75" s="86" t="s">
        <v>168</v>
      </c>
      <c r="C75" s="60" t="s">
        <v>50</v>
      </c>
      <c r="D75" s="75" t="s">
        <v>167</v>
      </c>
      <c r="E75" s="70" t="s">
        <v>174</v>
      </c>
      <c r="F75" s="60" t="s">
        <v>53</v>
      </c>
      <c r="G75" s="64">
        <v>160</v>
      </c>
      <c r="H75" s="76">
        <v>495.59999999999997</v>
      </c>
      <c r="I75" s="76">
        <v>79296</v>
      </c>
      <c r="J75" s="33">
        <v>200</v>
      </c>
      <c r="K75" s="33">
        <v>495.6</v>
      </c>
      <c r="L75" s="33">
        <f t="shared" si="108"/>
        <v>99120</v>
      </c>
      <c r="M75" s="34">
        <v>184</v>
      </c>
      <c r="N75" s="33">
        <f>IFERROR((G75*H75+J75*K75)/(G75+J75),0)</f>
        <v>495.6</v>
      </c>
      <c r="O75" s="33">
        <f t="shared" si="109"/>
        <v>91190.400000000009</v>
      </c>
      <c r="P75" s="137">
        <f t="shared" ref="P75:P78" si="150">G75+J75-M75</f>
        <v>176</v>
      </c>
      <c r="Q75" s="34">
        <f t="shared" ref="Q75" si="151">N75</f>
        <v>495.6</v>
      </c>
      <c r="R75" s="33">
        <f t="shared" ref="R75:R78" si="152">P75*Q75</f>
        <v>87225.600000000006</v>
      </c>
      <c r="S75" s="36">
        <v>46635</v>
      </c>
      <c r="T75" s="34">
        <v>2900</v>
      </c>
      <c r="U75" s="34">
        <v>495.6</v>
      </c>
      <c r="V75" s="34">
        <v>1437240</v>
      </c>
      <c r="W75" s="34">
        <v>2724</v>
      </c>
      <c r="X75" s="34">
        <v>495.59999999999997</v>
      </c>
      <c r="Y75" s="34">
        <v>1350014.4</v>
      </c>
      <c r="Z75" s="34">
        <v>600</v>
      </c>
      <c r="AA75" s="33">
        <v>495.59999999999997</v>
      </c>
      <c r="AB75" s="34">
        <f t="shared" si="148"/>
        <v>297360</v>
      </c>
      <c r="AC75" s="33">
        <v>0</v>
      </c>
      <c r="AD75" s="33">
        <v>495.6</v>
      </c>
      <c r="AE75" s="33">
        <v>0</v>
      </c>
      <c r="AF75" s="65">
        <f t="shared" si="21"/>
        <v>2900</v>
      </c>
      <c r="AG75" s="33">
        <f t="shared" si="18"/>
        <v>495.6</v>
      </c>
      <c r="AH75" s="65">
        <f t="shared" si="52"/>
        <v>1437240</v>
      </c>
      <c r="AI75" s="33">
        <v>400</v>
      </c>
      <c r="AJ75" s="33">
        <v>495.6</v>
      </c>
      <c r="AK75" s="33">
        <v>198240</v>
      </c>
      <c r="AL75" s="33"/>
      <c r="AM75" s="33"/>
      <c r="AN75" s="33"/>
      <c r="AO75" s="33">
        <v>300</v>
      </c>
      <c r="AP75" s="33">
        <v>495.6</v>
      </c>
      <c r="AQ75" s="33">
        <v>148680</v>
      </c>
      <c r="AR75" s="33">
        <v>300</v>
      </c>
      <c r="AS75" s="33">
        <v>495.6</v>
      </c>
      <c r="AT75" s="33">
        <v>148680</v>
      </c>
      <c r="AU75" s="33">
        <v>500</v>
      </c>
      <c r="AV75" s="33">
        <v>495.6</v>
      </c>
      <c r="AW75" s="33">
        <v>247800</v>
      </c>
      <c r="AX75" s="33">
        <v>300</v>
      </c>
      <c r="AY75" s="33">
        <v>495.6</v>
      </c>
      <c r="AZ75" s="33">
        <v>148680</v>
      </c>
      <c r="BA75" s="33">
        <v>300</v>
      </c>
      <c r="BB75" s="33">
        <v>495.6</v>
      </c>
      <c r="BC75" s="33">
        <v>148680</v>
      </c>
      <c r="BD75" s="33">
        <v>200</v>
      </c>
      <c r="BE75" s="33">
        <v>495.6</v>
      </c>
      <c r="BF75" s="33">
        <v>99120</v>
      </c>
      <c r="BG75" s="33">
        <v>200</v>
      </c>
      <c r="BH75" s="33">
        <v>495.6</v>
      </c>
      <c r="BI75" s="33">
        <v>99120</v>
      </c>
      <c r="BJ75" s="33">
        <v>200</v>
      </c>
      <c r="BK75" s="33">
        <v>495.6</v>
      </c>
      <c r="BL75" s="33">
        <v>99120</v>
      </c>
      <c r="BM75" s="33">
        <v>200</v>
      </c>
      <c r="BN75" s="33">
        <v>495.6</v>
      </c>
      <c r="BO75" s="33">
        <f t="shared" si="149"/>
        <v>99120</v>
      </c>
      <c r="BP75" s="33"/>
      <c r="BQ75" s="33"/>
      <c r="BR75" s="33"/>
      <c r="BT75" s="65">
        <f t="shared" si="53"/>
        <v>2724</v>
      </c>
      <c r="BU75" s="33">
        <f t="shared" si="20"/>
        <v>495.59999999999997</v>
      </c>
      <c r="BV75" s="65">
        <f t="shared" si="137"/>
        <v>1350014.4</v>
      </c>
      <c r="BW75" s="33">
        <v>252</v>
      </c>
      <c r="BX75" s="33">
        <v>495.6</v>
      </c>
      <c r="BY75" s="33">
        <v>124891.20000000001</v>
      </c>
      <c r="BZ75" s="33">
        <v>95</v>
      </c>
      <c r="CA75" s="33">
        <v>495.6</v>
      </c>
      <c r="CB75" s="33">
        <v>47082</v>
      </c>
      <c r="CC75" s="33">
        <v>223</v>
      </c>
      <c r="CD75" s="33">
        <v>495.59999999999997</v>
      </c>
      <c r="CE75" s="33">
        <v>110518.79999999999</v>
      </c>
      <c r="CF75" s="33">
        <v>254</v>
      </c>
      <c r="CG75" s="33">
        <v>495.6</v>
      </c>
      <c r="CH75" s="33">
        <v>125882.40000000001</v>
      </c>
      <c r="CI75" s="33">
        <v>378</v>
      </c>
      <c r="CJ75" s="33">
        <v>495.59999999999997</v>
      </c>
      <c r="CK75" s="33">
        <v>187336.8</v>
      </c>
      <c r="CL75" s="33">
        <v>408</v>
      </c>
      <c r="CM75" s="33">
        <v>495.59999999999997</v>
      </c>
      <c r="CN75" s="33">
        <v>202204.79999999999</v>
      </c>
      <c r="CO75" s="33">
        <v>396</v>
      </c>
      <c r="CP75" s="33">
        <v>495.6</v>
      </c>
      <c r="CQ75" s="33">
        <v>196257.6</v>
      </c>
      <c r="CR75" s="33">
        <v>65</v>
      </c>
      <c r="CS75" s="33">
        <v>495.59999999999997</v>
      </c>
      <c r="CT75" s="33">
        <v>32213.999999999996</v>
      </c>
      <c r="CU75" s="33">
        <v>246</v>
      </c>
      <c r="CV75" s="33">
        <v>495.59999999999997</v>
      </c>
      <c r="CW75" s="33">
        <v>121917.59999999999</v>
      </c>
      <c r="CX75" s="34">
        <v>223</v>
      </c>
      <c r="CY75" s="35">
        <v>495.59999999999997</v>
      </c>
      <c r="CZ75" s="33">
        <v>110518.79999999999</v>
      </c>
      <c r="DA75" s="34">
        <v>184</v>
      </c>
      <c r="DB75" s="33">
        <v>495.6</v>
      </c>
      <c r="DC75" s="33">
        <v>91190.400000000009</v>
      </c>
      <c r="DD75" s="33"/>
      <c r="DE75" s="33"/>
      <c r="DF75" s="66"/>
    </row>
    <row r="76" spans="1:110" ht="24.95" customHeight="1">
      <c r="A76" s="58">
        <v>57</v>
      </c>
      <c r="B76" s="86" t="s">
        <v>169</v>
      </c>
      <c r="C76" s="60" t="s">
        <v>50</v>
      </c>
      <c r="D76" s="75" t="s">
        <v>170</v>
      </c>
      <c r="E76" s="70" t="s">
        <v>128</v>
      </c>
      <c r="F76" s="60" t="s">
        <v>53</v>
      </c>
      <c r="G76" s="64">
        <v>424</v>
      </c>
      <c r="H76" s="76">
        <v>352.8</v>
      </c>
      <c r="I76" s="76">
        <v>149587.20000000001</v>
      </c>
      <c r="J76" s="33">
        <v>500</v>
      </c>
      <c r="K76" s="33">
        <v>352.8</v>
      </c>
      <c r="L76" s="33">
        <f t="shared" si="108"/>
        <v>176400</v>
      </c>
      <c r="M76" s="34">
        <v>654</v>
      </c>
      <c r="N76" s="33">
        <f>IFERROR((G76*H76+J76*K76)/(G76+J76),0)</f>
        <v>352.8</v>
      </c>
      <c r="O76" s="33">
        <f t="shared" ref="O76:O78" si="153">M76*N76</f>
        <v>230731.2</v>
      </c>
      <c r="P76" s="137">
        <f t="shared" si="150"/>
        <v>270</v>
      </c>
      <c r="Q76" s="34">
        <f t="shared" ref="Q76:Q77" si="154">N76</f>
        <v>352.8</v>
      </c>
      <c r="R76" s="33">
        <f t="shared" si="152"/>
        <v>95256</v>
      </c>
      <c r="S76" s="36">
        <v>46964</v>
      </c>
      <c r="T76" s="34">
        <v>3700</v>
      </c>
      <c r="U76" s="34">
        <v>352.8</v>
      </c>
      <c r="V76" s="34">
        <v>1305360</v>
      </c>
      <c r="W76" s="34">
        <v>3530</v>
      </c>
      <c r="X76" s="34">
        <v>352.8</v>
      </c>
      <c r="Y76" s="34">
        <v>1245384</v>
      </c>
      <c r="Z76" s="34">
        <v>600</v>
      </c>
      <c r="AA76" s="33">
        <v>352.79999999999995</v>
      </c>
      <c r="AB76" s="34">
        <f t="shared" si="148"/>
        <v>211679.99999999997</v>
      </c>
      <c r="AC76" s="33">
        <v>100</v>
      </c>
      <c r="AD76" s="33">
        <v>352.8</v>
      </c>
      <c r="AE76" s="33">
        <v>35280</v>
      </c>
      <c r="AF76" s="65">
        <f t="shared" ref="AF76:AF78" si="155">SUMIF($AI$6:$BR$6,$AF$6,AI76:BR76)</f>
        <v>3700</v>
      </c>
      <c r="AG76" s="33">
        <f t="shared" si="18"/>
        <v>352.8</v>
      </c>
      <c r="AH76" s="65">
        <f t="shared" si="52"/>
        <v>1305360</v>
      </c>
      <c r="AI76" s="33">
        <v>400</v>
      </c>
      <c r="AJ76" s="33">
        <v>352.8</v>
      </c>
      <c r="AK76" s="33">
        <v>141120</v>
      </c>
      <c r="AL76" s="33"/>
      <c r="AM76" s="33"/>
      <c r="AN76" s="33"/>
      <c r="AO76" s="33">
        <v>400</v>
      </c>
      <c r="AP76" s="33">
        <v>352.8</v>
      </c>
      <c r="AQ76" s="33">
        <v>141120</v>
      </c>
      <c r="AR76" s="33">
        <v>300</v>
      </c>
      <c r="AS76" s="33">
        <v>352.8</v>
      </c>
      <c r="AT76" s="33">
        <v>105840</v>
      </c>
      <c r="AU76" s="33">
        <v>300</v>
      </c>
      <c r="AV76" s="33">
        <v>352.8</v>
      </c>
      <c r="AW76" s="33">
        <v>105840</v>
      </c>
      <c r="AX76" s="33">
        <v>300</v>
      </c>
      <c r="AY76" s="33">
        <v>352.8</v>
      </c>
      <c r="AZ76" s="33">
        <v>105840</v>
      </c>
      <c r="BA76" s="33">
        <v>300</v>
      </c>
      <c r="BB76" s="33">
        <v>352.8</v>
      </c>
      <c r="BC76" s="33">
        <v>105840</v>
      </c>
      <c r="BD76" s="33">
        <v>200</v>
      </c>
      <c r="BE76" s="33">
        <v>352.8</v>
      </c>
      <c r="BF76" s="33">
        <v>70560</v>
      </c>
      <c r="BG76" s="33">
        <v>500</v>
      </c>
      <c r="BH76" s="33">
        <v>352.8</v>
      </c>
      <c r="BI76" s="33">
        <v>176400</v>
      </c>
      <c r="BJ76" s="33">
        <v>500</v>
      </c>
      <c r="BK76" s="33">
        <v>352.8</v>
      </c>
      <c r="BL76" s="33">
        <v>176400</v>
      </c>
      <c r="BM76" s="33">
        <v>500</v>
      </c>
      <c r="BN76" s="33">
        <v>352.8</v>
      </c>
      <c r="BO76" s="33">
        <f t="shared" si="149"/>
        <v>176400</v>
      </c>
      <c r="BP76" s="33"/>
      <c r="BQ76" s="33"/>
      <c r="BR76" s="33"/>
      <c r="BT76" s="65">
        <f t="shared" si="53"/>
        <v>3530</v>
      </c>
      <c r="BU76" s="33">
        <f t="shared" ref="BU76:BU78" si="156">IFERROR(BV76/BT76,0)</f>
        <v>352.8</v>
      </c>
      <c r="BV76" s="65">
        <f t="shared" si="137"/>
        <v>1245384</v>
      </c>
      <c r="BW76" s="33">
        <v>258</v>
      </c>
      <c r="BX76" s="33">
        <v>352.8</v>
      </c>
      <c r="BY76" s="33">
        <v>91022.400000000009</v>
      </c>
      <c r="BZ76" s="33">
        <v>195</v>
      </c>
      <c r="CA76" s="33">
        <v>352.8</v>
      </c>
      <c r="CB76" s="33">
        <v>68796</v>
      </c>
      <c r="CC76" s="33">
        <v>201</v>
      </c>
      <c r="CD76" s="33">
        <v>352.8</v>
      </c>
      <c r="CE76" s="33">
        <v>70912.800000000003</v>
      </c>
      <c r="CF76" s="33">
        <v>330</v>
      </c>
      <c r="CG76" s="33">
        <v>352.79999999999995</v>
      </c>
      <c r="CH76" s="33">
        <v>116423.99999999999</v>
      </c>
      <c r="CI76" s="33">
        <v>324</v>
      </c>
      <c r="CJ76" s="33">
        <v>352.79999999999995</v>
      </c>
      <c r="CK76" s="33">
        <v>114307.19999999998</v>
      </c>
      <c r="CL76" s="33">
        <v>302</v>
      </c>
      <c r="CM76" s="33">
        <v>352.79999999999995</v>
      </c>
      <c r="CN76" s="33">
        <v>106545.59999999999</v>
      </c>
      <c r="CO76" s="33">
        <v>288</v>
      </c>
      <c r="CP76" s="33">
        <v>352.8</v>
      </c>
      <c r="CQ76" s="33">
        <v>101606.40000000001</v>
      </c>
      <c r="CR76" s="33">
        <v>145</v>
      </c>
      <c r="CS76" s="33">
        <v>352.8</v>
      </c>
      <c r="CT76" s="33">
        <v>51156</v>
      </c>
      <c r="CU76" s="33">
        <v>327</v>
      </c>
      <c r="CV76" s="33">
        <v>352.79999999999995</v>
      </c>
      <c r="CW76" s="33">
        <v>115365.59999999999</v>
      </c>
      <c r="CX76" s="34">
        <v>506</v>
      </c>
      <c r="CY76" s="35">
        <v>352.8</v>
      </c>
      <c r="CZ76" s="33">
        <v>178516.80000000002</v>
      </c>
      <c r="DA76" s="34">
        <v>654</v>
      </c>
      <c r="DB76" s="33">
        <v>352.8</v>
      </c>
      <c r="DC76" s="33">
        <v>230731.2</v>
      </c>
      <c r="DD76" s="33"/>
      <c r="DE76" s="33"/>
      <c r="DF76" s="66"/>
    </row>
    <row r="77" spans="1:110" ht="24.95" customHeight="1">
      <c r="A77" s="58">
        <v>58</v>
      </c>
      <c r="B77" s="86" t="s">
        <v>166</v>
      </c>
      <c r="C77" s="60" t="s">
        <v>50</v>
      </c>
      <c r="D77" s="75" t="s">
        <v>55</v>
      </c>
      <c r="E77" s="70" t="s">
        <v>172</v>
      </c>
      <c r="F77" s="60" t="s">
        <v>53</v>
      </c>
      <c r="G77" s="64">
        <v>706</v>
      </c>
      <c r="H77" s="76">
        <v>827.09181652198424</v>
      </c>
      <c r="I77" s="76">
        <v>583926.82246452093</v>
      </c>
      <c r="J77" s="33">
        <v>1000</v>
      </c>
      <c r="K77" s="33">
        <v>777.6</v>
      </c>
      <c r="L77" s="33">
        <f t="shared" si="108"/>
        <v>777600</v>
      </c>
      <c r="M77" s="34">
        <v>1071</v>
      </c>
      <c r="N77" s="33">
        <f>IFERROR((G77*H77+J77*K77)/(G77+J77),0)</f>
        <v>798.08137307416234</v>
      </c>
      <c r="O77" s="33">
        <f t="shared" si="153"/>
        <v>854745.15056242782</v>
      </c>
      <c r="P77" s="137">
        <f t="shared" si="150"/>
        <v>635</v>
      </c>
      <c r="Q77" s="34">
        <f t="shared" si="154"/>
        <v>798.08137307416234</v>
      </c>
      <c r="R77" s="33">
        <f t="shared" si="152"/>
        <v>506781.67190209311</v>
      </c>
      <c r="S77" s="36">
        <v>46773</v>
      </c>
      <c r="T77" s="34">
        <v>6600</v>
      </c>
      <c r="U77" s="34">
        <v>810.35454545454547</v>
      </c>
      <c r="V77" s="34">
        <v>5348340</v>
      </c>
      <c r="W77" s="34">
        <v>6279</v>
      </c>
      <c r="X77" s="34">
        <v>812.44813128376506</v>
      </c>
      <c r="Y77" s="34">
        <v>5101361.8163307607</v>
      </c>
      <c r="Z77" s="34">
        <v>1000</v>
      </c>
      <c r="AA77" s="33">
        <v>826.53653097600977</v>
      </c>
      <c r="AB77" s="34">
        <f t="shared" si="148"/>
        <v>826536.53097600979</v>
      </c>
      <c r="AC77" s="33">
        <v>314</v>
      </c>
      <c r="AD77" s="33">
        <v>827.39964405367414</v>
      </c>
      <c r="AE77" s="33">
        <v>259814</v>
      </c>
      <c r="AF77" s="65">
        <f t="shared" si="155"/>
        <v>6600</v>
      </c>
      <c r="AG77" s="33">
        <f t="shared" ref="AG77:AG78" si="157">IFERROR(AH77/AF77,0)</f>
        <v>810.35454545454547</v>
      </c>
      <c r="AH77" s="65">
        <f t="shared" si="52"/>
        <v>5348340</v>
      </c>
      <c r="AI77" s="33">
        <v>500</v>
      </c>
      <c r="AJ77" s="33">
        <v>827.4</v>
      </c>
      <c r="AK77" s="33">
        <v>413700</v>
      </c>
      <c r="AL77" s="33"/>
      <c r="AM77" s="33"/>
      <c r="AN77" s="33"/>
      <c r="AO77" s="33">
        <v>600</v>
      </c>
      <c r="AP77" s="33">
        <v>827.4</v>
      </c>
      <c r="AQ77" s="33">
        <v>496440</v>
      </c>
      <c r="AR77" s="33">
        <v>500</v>
      </c>
      <c r="AS77" s="33">
        <v>827.4</v>
      </c>
      <c r="AT77" s="33">
        <v>413700</v>
      </c>
      <c r="AU77" s="33">
        <v>500</v>
      </c>
      <c r="AV77" s="33">
        <v>702</v>
      </c>
      <c r="AW77" s="33">
        <v>351000</v>
      </c>
      <c r="AX77" s="33">
        <v>500</v>
      </c>
      <c r="AY77" s="33">
        <v>827.4</v>
      </c>
      <c r="AZ77" s="33">
        <v>413700</v>
      </c>
      <c r="BA77" s="33">
        <v>500</v>
      </c>
      <c r="BB77" s="33">
        <v>827.4</v>
      </c>
      <c r="BC77" s="33">
        <v>413700</v>
      </c>
      <c r="BD77" s="33">
        <v>500</v>
      </c>
      <c r="BE77" s="33">
        <v>827.4</v>
      </c>
      <c r="BF77" s="33">
        <v>413700</v>
      </c>
      <c r="BG77" s="33">
        <v>1000</v>
      </c>
      <c r="BH77" s="33">
        <v>827.4</v>
      </c>
      <c r="BI77" s="33">
        <v>827400</v>
      </c>
      <c r="BJ77" s="33">
        <v>1000</v>
      </c>
      <c r="BK77" s="33">
        <v>827.4</v>
      </c>
      <c r="BL77" s="33">
        <v>827400</v>
      </c>
      <c r="BM77" s="33">
        <v>1000</v>
      </c>
      <c r="BN77" s="33">
        <v>777.6</v>
      </c>
      <c r="BO77" s="33">
        <f t="shared" si="149"/>
        <v>777600</v>
      </c>
      <c r="BP77" s="33"/>
      <c r="BQ77" s="33"/>
      <c r="BR77" s="33"/>
      <c r="BT77" s="65">
        <f t="shared" si="53"/>
        <v>6279</v>
      </c>
      <c r="BU77" s="33">
        <f t="shared" si="156"/>
        <v>812.44813128376506</v>
      </c>
      <c r="BV77" s="65">
        <f t="shared" si="137"/>
        <v>5101361.8163307607</v>
      </c>
      <c r="BW77" s="33">
        <v>490</v>
      </c>
      <c r="BX77" s="33">
        <v>827.39986269392352</v>
      </c>
      <c r="BY77" s="33">
        <v>405425.93272002251</v>
      </c>
      <c r="BZ77" s="33">
        <v>251</v>
      </c>
      <c r="CA77" s="33">
        <v>827.39986269392341</v>
      </c>
      <c r="CB77" s="33">
        <v>207677.36553617477</v>
      </c>
      <c r="CC77" s="33">
        <v>378</v>
      </c>
      <c r="CD77" s="33">
        <v>827.3999851064732</v>
      </c>
      <c r="CE77" s="33">
        <v>312757.19437024684</v>
      </c>
      <c r="CF77" s="33">
        <v>471</v>
      </c>
      <c r="CG77" s="33">
        <v>827.39999447347122</v>
      </c>
      <c r="CH77" s="33">
        <v>389705.39739700494</v>
      </c>
      <c r="CI77" s="33">
        <v>536</v>
      </c>
      <c r="CJ77" s="33">
        <v>751.30776481723865</v>
      </c>
      <c r="CK77" s="33">
        <v>402700.9619420399</v>
      </c>
      <c r="CL77" s="33">
        <v>479</v>
      </c>
      <c r="CM77" s="33">
        <v>799.58963993320401</v>
      </c>
      <c r="CN77" s="33">
        <v>383003.4375280047</v>
      </c>
      <c r="CO77" s="33">
        <v>498</v>
      </c>
      <c r="CP77" s="33">
        <v>816.77774875075409</v>
      </c>
      <c r="CQ77" s="33">
        <v>406755.31887787551</v>
      </c>
      <c r="CR77" s="33">
        <v>542</v>
      </c>
      <c r="CS77" s="33">
        <v>823.3266089537417</v>
      </c>
      <c r="CT77" s="33">
        <v>446243.02205292799</v>
      </c>
      <c r="CU77" s="33">
        <v>714</v>
      </c>
      <c r="CV77" s="33">
        <v>826.53653097600977</v>
      </c>
      <c r="CW77" s="33">
        <v>590147.08311687096</v>
      </c>
      <c r="CX77" s="34">
        <v>849</v>
      </c>
      <c r="CY77" s="35">
        <v>827.09181652198424</v>
      </c>
      <c r="CZ77" s="33">
        <v>702200.95222716464</v>
      </c>
      <c r="DA77" s="34">
        <v>1071</v>
      </c>
      <c r="DB77" s="33">
        <v>798.08137307416234</v>
      </c>
      <c r="DC77" s="33">
        <v>854745.15056242782</v>
      </c>
      <c r="DD77" s="33"/>
      <c r="DE77" s="33"/>
      <c r="DF77" s="66"/>
    </row>
    <row r="78" spans="1:110" ht="24.95" customHeight="1">
      <c r="A78" s="58">
        <v>59</v>
      </c>
      <c r="B78" s="86" t="s">
        <v>171</v>
      </c>
      <c r="C78" s="60" t="s">
        <v>50</v>
      </c>
      <c r="D78" s="75" t="s">
        <v>55</v>
      </c>
      <c r="E78" s="70" t="s">
        <v>173</v>
      </c>
      <c r="F78" s="60" t="s">
        <v>53</v>
      </c>
      <c r="G78" s="64">
        <v>174</v>
      </c>
      <c r="H78" s="76">
        <v>736.74066349493557</v>
      </c>
      <c r="I78" s="76">
        <v>128192.87544811879</v>
      </c>
      <c r="J78" s="33">
        <v>300</v>
      </c>
      <c r="K78" s="33">
        <v>651</v>
      </c>
      <c r="L78" s="33">
        <f t="shared" si="108"/>
        <v>195300</v>
      </c>
      <c r="M78" s="34">
        <v>298</v>
      </c>
      <c r="N78" s="33">
        <f>IFERROR((G78*H78+J78*K78)/(G78+J78),0)</f>
        <v>682.47442077662186</v>
      </c>
      <c r="O78" s="33">
        <f t="shared" si="153"/>
        <v>203377.37739143331</v>
      </c>
      <c r="P78" s="137">
        <f t="shared" si="150"/>
        <v>176</v>
      </c>
      <c r="Q78" s="34">
        <f>N78</f>
        <v>682.47442077662186</v>
      </c>
      <c r="R78" s="33">
        <f t="shared" si="152"/>
        <v>120115.49805668545</v>
      </c>
      <c r="S78" s="36">
        <v>47019</v>
      </c>
      <c r="T78" s="34">
        <v>4200</v>
      </c>
      <c r="U78" s="34">
        <v>795.5</v>
      </c>
      <c r="V78" s="34">
        <v>3341100</v>
      </c>
      <c r="W78" s="34">
        <v>4224</v>
      </c>
      <c r="X78" s="34">
        <v>793.36754307370143</v>
      </c>
      <c r="Y78" s="34">
        <v>3351184.5019433149</v>
      </c>
      <c r="Z78" s="34">
        <v>400</v>
      </c>
      <c r="AA78" s="33">
        <v>880.44009951996725</v>
      </c>
      <c r="AB78" s="34">
        <f t="shared" si="148"/>
        <v>352176.03980798688</v>
      </c>
      <c r="AC78" s="33">
        <v>200</v>
      </c>
      <c r="AD78" s="33">
        <v>651</v>
      </c>
      <c r="AE78" s="33">
        <v>130200</v>
      </c>
      <c r="AF78" s="65">
        <f t="shared" si="155"/>
        <v>4200</v>
      </c>
      <c r="AG78" s="33">
        <f t="shared" si="157"/>
        <v>795.5</v>
      </c>
      <c r="AH78" s="65">
        <f t="shared" si="52"/>
        <v>3341100</v>
      </c>
      <c r="AI78" s="33">
        <v>500</v>
      </c>
      <c r="AJ78" s="33">
        <v>651</v>
      </c>
      <c r="AK78" s="33">
        <v>325500</v>
      </c>
      <c r="AL78" s="33"/>
      <c r="AM78" s="33"/>
      <c r="AN78" s="33"/>
      <c r="AO78" s="33">
        <v>400</v>
      </c>
      <c r="AP78" s="33">
        <v>651</v>
      </c>
      <c r="AQ78" s="33">
        <v>260400</v>
      </c>
      <c r="AR78" s="33">
        <v>400</v>
      </c>
      <c r="AS78" s="33">
        <v>651</v>
      </c>
      <c r="AT78" s="33">
        <v>260400</v>
      </c>
      <c r="AU78" s="33">
        <v>500</v>
      </c>
      <c r="AV78" s="33">
        <v>651</v>
      </c>
      <c r="AW78" s="33">
        <v>325500</v>
      </c>
      <c r="AX78" s="33">
        <v>500</v>
      </c>
      <c r="AY78" s="33">
        <v>651</v>
      </c>
      <c r="AZ78" s="33">
        <v>325500</v>
      </c>
      <c r="BA78" s="33">
        <v>500</v>
      </c>
      <c r="BB78" s="33">
        <v>1257.9000000000001</v>
      </c>
      <c r="BC78" s="33">
        <v>628950</v>
      </c>
      <c r="BD78" s="33">
        <v>500</v>
      </c>
      <c r="BE78" s="33">
        <v>1257.9000000000001</v>
      </c>
      <c r="BF78" s="33">
        <v>628950</v>
      </c>
      <c r="BG78" s="33">
        <v>300</v>
      </c>
      <c r="BH78" s="33">
        <v>651</v>
      </c>
      <c r="BI78" s="33">
        <v>195300</v>
      </c>
      <c r="BJ78" s="33">
        <v>300</v>
      </c>
      <c r="BK78" s="33">
        <v>651</v>
      </c>
      <c r="BL78" s="33">
        <v>195300</v>
      </c>
      <c r="BM78" s="33">
        <v>300</v>
      </c>
      <c r="BN78" s="33">
        <v>651</v>
      </c>
      <c r="BO78" s="33">
        <f t="shared" si="149"/>
        <v>195300</v>
      </c>
      <c r="BP78" s="33"/>
      <c r="BQ78" s="33"/>
      <c r="BR78" s="33"/>
      <c r="BT78" s="65">
        <f t="shared" si="53"/>
        <v>4224</v>
      </c>
      <c r="BU78" s="33">
        <f t="shared" si="156"/>
        <v>793.36754307370143</v>
      </c>
      <c r="BV78" s="65">
        <f t="shared" si="137"/>
        <v>3351184.5019433149</v>
      </c>
      <c r="BW78" s="33">
        <v>476</v>
      </c>
      <c r="BX78" s="33">
        <v>651</v>
      </c>
      <c r="BY78" s="33">
        <v>309876</v>
      </c>
      <c r="BZ78" s="33">
        <v>178</v>
      </c>
      <c r="CA78" s="33">
        <v>651</v>
      </c>
      <c r="CB78" s="33">
        <v>115878</v>
      </c>
      <c r="CC78" s="33">
        <v>236</v>
      </c>
      <c r="CD78" s="33">
        <v>651</v>
      </c>
      <c r="CE78" s="33">
        <v>153636</v>
      </c>
      <c r="CF78" s="33">
        <v>389</v>
      </c>
      <c r="CG78" s="33">
        <v>651</v>
      </c>
      <c r="CH78" s="33">
        <v>253239</v>
      </c>
      <c r="CI78" s="33">
        <v>457</v>
      </c>
      <c r="CJ78" s="33">
        <v>651</v>
      </c>
      <c r="CK78" s="33">
        <v>297507</v>
      </c>
      <c r="CL78" s="33">
        <v>521</v>
      </c>
      <c r="CM78" s="33">
        <v>651</v>
      </c>
      <c r="CN78" s="33">
        <v>339171</v>
      </c>
      <c r="CO78" s="33">
        <v>569</v>
      </c>
      <c r="CP78" s="33">
        <v>1059.4118438761777</v>
      </c>
      <c r="CQ78" s="33">
        <v>602805.33916554507</v>
      </c>
      <c r="CR78" s="33">
        <v>463</v>
      </c>
      <c r="CS78" s="33">
        <v>1206.6582504962239</v>
      </c>
      <c r="CT78" s="33">
        <v>558682.76997975167</v>
      </c>
      <c r="CU78" s="33">
        <v>332</v>
      </c>
      <c r="CV78" s="33">
        <v>880.44009951996725</v>
      </c>
      <c r="CW78" s="33">
        <v>292306.11304062913</v>
      </c>
      <c r="CX78" s="34">
        <v>305</v>
      </c>
      <c r="CY78" s="35">
        <v>736.74066349493557</v>
      </c>
      <c r="CZ78" s="33">
        <v>224705.90236595535</v>
      </c>
      <c r="DA78" s="34">
        <v>298</v>
      </c>
      <c r="DB78" s="33">
        <v>682.47442077662186</v>
      </c>
      <c r="DC78" s="33">
        <v>203377.37739143331</v>
      </c>
      <c r="DD78" s="33"/>
      <c r="DE78" s="33"/>
      <c r="DF78" s="66"/>
    </row>
    <row r="79" spans="1:110" s="25" customFormat="1" ht="24.95" customHeight="1">
      <c r="A79" s="46" t="s">
        <v>28</v>
      </c>
      <c r="B79" s="47"/>
      <c r="C79" s="78"/>
      <c r="D79" s="79"/>
      <c r="E79" s="80"/>
      <c r="F79" s="51"/>
      <c r="G79" s="81">
        <f>SUM(G80:G87)</f>
        <v>594</v>
      </c>
      <c r="H79" s="53"/>
      <c r="I79" s="81">
        <f>SUM(I80:I87)</f>
        <v>638946.18884835124</v>
      </c>
      <c r="J79" s="81">
        <f>SUM(J80:J87)</f>
        <v>1400</v>
      </c>
      <c r="K79" s="53"/>
      <c r="L79" s="81">
        <f>SUM(L80:L87)</f>
        <v>1505355</v>
      </c>
      <c r="M79" s="81">
        <f>SUM(M80:M87)</f>
        <v>1253</v>
      </c>
      <c r="N79" s="53"/>
      <c r="O79" s="81">
        <f>SUM(O80:O87)</f>
        <v>1441736.3948157192</v>
      </c>
      <c r="P79" s="81">
        <f>SUM(P80:P87)</f>
        <v>741</v>
      </c>
      <c r="Q79" s="54"/>
      <c r="R79" s="81">
        <f>SUM(R80:R87)</f>
        <v>702564.79403263191</v>
      </c>
      <c r="S79" s="56"/>
      <c r="T79" s="55">
        <v>19010</v>
      </c>
      <c r="U79" s="55">
        <v>1123.8400841662283</v>
      </c>
      <c r="V79" s="55">
        <v>21364200</v>
      </c>
      <c r="W79" s="55">
        <v>20068</v>
      </c>
      <c r="X79" s="55">
        <v>1112.6878611185837</v>
      </c>
      <c r="Y79" s="55">
        <v>22329419.996927738</v>
      </c>
      <c r="Z79" s="81">
        <f>SUM(Z80:Z87)</f>
        <v>1550</v>
      </c>
      <c r="AA79" s="53"/>
      <c r="AB79" s="81">
        <f>SUM(AB80:AB87)</f>
        <v>1711615.5847989242</v>
      </c>
      <c r="AC79" s="81">
        <f>SUM(AC80:AC87)</f>
        <v>1799</v>
      </c>
      <c r="AD79" s="54"/>
      <c r="AE79" s="81">
        <f>SUM(AE80:AE87)</f>
        <v>1667784.8909603686</v>
      </c>
      <c r="AF79" s="81">
        <f>SUM(AF80:AF87)</f>
        <v>19010</v>
      </c>
      <c r="AG79" s="52">
        <f>IFERROR(AH79/AF79,0)</f>
        <v>1123.8400841662283</v>
      </c>
      <c r="AH79" s="81">
        <f>SUM(AH80:AH87)</f>
        <v>21364200</v>
      </c>
      <c r="AI79" s="81"/>
      <c r="AJ79" s="81"/>
      <c r="AK79" s="81">
        <f t="shared" ref="AK79:BR79" si="158">SUM(AK80:AK87)</f>
        <v>4278540</v>
      </c>
      <c r="AL79" s="81"/>
      <c r="AM79" s="81"/>
      <c r="AN79" s="81">
        <f t="shared" si="158"/>
        <v>0</v>
      </c>
      <c r="AO79" s="81"/>
      <c r="AP79" s="81"/>
      <c r="AQ79" s="81">
        <f t="shared" si="158"/>
        <v>3094245</v>
      </c>
      <c r="AR79" s="81"/>
      <c r="AS79" s="81"/>
      <c r="AT79" s="81">
        <f t="shared" si="158"/>
        <v>2079315</v>
      </c>
      <c r="AU79" s="81"/>
      <c r="AV79" s="81"/>
      <c r="AW79" s="81">
        <f t="shared" si="158"/>
        <v>1980330</v>
      </c>
      <c r="AX79" s="81"/>
      <c r="AY79" s="81"/>
      <c r="AZ79" s="81">
        <f t="shared" si="158"/>
        <v>1892235</v>
      </c>
      <c r="BA79" s="81"/>
      <c r="BB79" s="81"/>
      <c r="BC79" s="81">
        <f t="shared" si="158"/>
        <v>1812120</v>
      </c>
      <c r="BD79" s="81"/>
      <c r="BE79" s="81"/>
      <c r="BF79" s="81">
        <f t="shared" si="158"/>
        <v>1739985</v>
      </c>
      <c r="BG79" s="81">
        <v>1240</v>
      </c>
      <c r="BH79" s="81"/>
      <c r="BI79" s="81">
        <v>1545840</v>
      </c>
      <c r="BJ79" s="81"/>
      <c r="BK79" s="81"/>
      <c r="BL79" s="81">
        <f t="shared" si="158"/>
        <v>1436235</v>
      </c>
      <c r="BM79" s="81"/>
      <c r="BN79" s="81"/>
      <c r="BO79" s="81">
        <f t="shared" si="158"/>
        <v>1505355</v>
      </c>
      <c r="BP79" s="81"/>
      <c r="BQ79" s="81"/>
      <c r="BR79" s="81">
        <f t="shared" si="158"/>
        <v>0</v>
      </c>
      <c r="BT79" s="81">
        <f>SUM(BT80:BT87)</f>
        <v>20068</v>
      </c>
      <c r="BU79" s="52">
        <f>IFERROR(BV79/BT79,0)</f>
        <v>1112.6878611185837</v>
      </c>
      <c r="BV79" s="81">
        <f>SUM(BV80:BV87)</f>
        <v>22329419.996927738</v>
      </c>
      <c r="BW79" s="53"/>
      <c r="BX79" s="53"/>
      <c r="BY79" s="81">
        <f>SUM(BY80:BY87)</f>
        <v>2922598.0082353824</v>
      </c>
      <c r="BZ79" s="53"/>
      <c r="CA79" s="53"/>
      <c r="CB79" s="81">
        <f>SUM(CB80:CB87)</f>
        <v>2388278.0583815868</v>
      </c>
      <c r="CC79" s="53"/>
      <c r="CD79" s="53"/>
      <c r="CE79" s="81">
        <f t="shared" ref="CE79" si="159">SUM(CE80:CE87)</f>
        <v>1983869.6060209624</v>
      </c>
      <c r="CF79" s="53"/>
      <c r="CG79" s="53"/>
      <c r="CH79" s="81">
        <f t="shared" ref="CH79" si="160">SUM(CH80:CH87)</f>
        <v>2523251.6084445505</v>
      </c>
      <c r="CI79" s="53"/>
      <c r="CJ79" s="53"/>
      <c r="CK79" s="81">
        <f t="shared" ref="CK79" si="161">SUM(CK80:CK87)</f>
        <v>2271042.1254780428</v>
      </c>
      <c r="CL79" s="53"/>
      <c r="CM79" s="53"/>
      <c r="CN79" s="81">
        <f t="shared" ref="CN79" si="162">SUM(CN80:CN87)</f>
        <v>1860241.5085948375</v>
      </c>
      <c r="CO79" s="53"/>
      <c r="CP79" s="53"/>
      <c r="CQ79" s="81">
        <f>SUM(CQ80:CQ87)</f>
        <v>1853732.1572351037</v>
      </c>
      <c r="CR79" s="53"/>
      <c r="CS79" s="53"/>
      <c r="CT79" s="81">
        <f t="shared" ref="CT79" si="163">SUM(CT80:CT87)</f>
        <v>1632149.8428410338</v>
      </c>
      <c r="CU79" s="53">
        <v>1754</v>
      </c>
      <c r="CV79" s="53"/>
      <c r="CW79" s="81">
        <v>1806425.7177611415</v>
      </c>
      <c r="CX79" s="81">
        <f>SUM(CX80:CX87)</f>
        <v>1403</v>
      </c>
      <c r="CY79" s="53"/>
      <c r="CZ79" s="81">
        <f t="shared" ref="CZ79" si="164">SUM(CZ80:CZ87)</f>
        <v>1646094.9691193756</v>
      </c>
      <c r="DA79" s="53"/>
      <c r="DB79" s="53"/>
      <c r="DC79" s="81">
        <f t="shared" ref="DC79" si="165">SUM(DC80:DC87)</f>
        <v>1441736.3948157192</v>
      </c>
      <c r="DD79" s="53"/>
      <c r="DE79" s="53"/>
      <c r="DF79" s="82">
        <f t="shared" ref="DF79" si="166">SUM(DF80:DF87)</f>
        <v>0</v>
      </c>
    </row>
    <row r="80" spans="1:110" ht="24.95" customHeight="1">
      <c r="A80" s="58">
        <v>60</v>
      </c>
      <c r="B80" s="84" t="s">
        <v>176</v>
      </c>
      <c r="C80" s="60" t="s">
        <v>50</v>
      </c>
      <c r="D80" s="75" t="s">
        <v>55</v>
      </c>
      <c r="E80" s="70" t="s">
        <v>56</v>
      </c>
      <c r="F80" s="60" t="s">
        <v>53</v>
      </c>
      <c r="G80" s="64">
        <v>79</v>
      </c>
      <c r="H80" s="76">
        <v>391.58947981904186</v>
      </c>
      <c r="I80" s="76">
        <v>30935.568905704306</v>
      </c>
      <c r="J80" s="33">
        <v>100</v>
      </c>
      <c r="K80" s="33">
        <v>391.65</v>
      </c>
      <c r="L80" s="33">
        <f t="shared" si="108"/>
        <v>39165</v>
      </c>
      <c r="M80" s="34">
        <v>105</v>
      </c>
      <c r="N80" s="33">
        <f t="shared" ref="N80:N87" si="167">IFERROR((G80*H80+J80*K80)/(G80+J80),0)</f>
        <v>391.62328997600173</v>
      </c>
      <c r="O80" s="33">
        <f t="shared" ref="O80:O87" si="168">M80*N80</f>
        <v>41120.445447480182</v>
      </c>
      <c r="P80" s="137">
        <f>G80+J80-M80</f>
        <v>74</v>
      </c>
      <c r="Q80" s="34">
        <f>N80</f>
        <v>391.62328997600173</v>
      </c>
      <c r="R80" s="33">
        <f>P80*Q80</f>
        <v>28980.123458224127</v>
      </c>
      <c r="S80" s="36">
        <v>46495</v>
      </c>
      <c r="T80" s="34">
        <v>3300</v>
      </c>
      <c r="U80" s="34">
        <v>390.40909090909093</v>
      </c>
      <c r="V80" s="34">
        <v>1288350</v>
      </c>
      <c r="W80" s="34">
        <v>3678</v>
      </c>
      <c r="X80" s="34">
        <v>390.53677589961671</v>
      </c>
      <c r="Y80" s="34">
        <v>1436394.2617587904</v>
      </c>
      <c r="Z80" s="34">
        <v>100</v>
      </c>
      <c r="AA80" s="33">
        <v>391.52297412568129</v>
      </c>
      <c r="AB80" s="34">
        <f t="shared" ref="AB80:AB87" si="169">Z80*AA80</f>
        <v>39152.297412568128</v>
      </c>
      <c r="AC80" s="33">
        <v>452</v>
      </c>
      <c r="AD80" s="33">
        <v>391.64686994914763</v>
      </c>
      <c r="AE80" s="33">
        <v>177024.38521701473</v>
      </c>
      <c r="AF80" s="65">
        <f t="shared" ref="AF80:AF87" si="170">SUMIF($AI$6:$BR$6,$AF$6,AI80:BR80)</f>
        <v>3300</v>
      </c>
      <c r="AG80" s="33">
        <f t="shared" ref="AG80:AG87" si="171">IFERROR(AH80/AF80,0)</f>
        <v>390.40909090909093</v>
      </c>
      <c r="AH80" s="65">
        <f t="shared" si="52"/>
        <v>1288350</v>
      </c>
      <c r="AI80" s="33">
        <v>900</v>
      </c>
      <c r="AJ80" s="33">
        <v>391.65</v>
      </c>
      <c r="AK80" s="33">
        <v>352485</v>
      </c>
      <c r="AL80" s="33"/>
      <c r="AM80" s="33"/>
      <c r="AN80" s="33"/>
      <c r="AO80" s="33">
        <v>600</v>
      </c>
      <c r="AP80" s="33">
        <v>391.65</v>
      </c>
      <c r="AQ80" s="33">
        <v>234990</v>
      </c>
      <c r="AR80" s="33">
        <v>300</v>
      </c>
      <c r="AS80" s="33">
        <v>391.65</v>
      </c>
      <c r="AT80" s="33">
        <v>117495</v>
      </c>
      <c r="AU80" s="33">
        <v>300</v>
      </c>
      <c r="AV80" s="33">
        <v>378</v>
      </c>
      <c r="AW80" s="33">
        <v>113400</v>
      </c>
      <c r="AX80" s="33">
        <v>300</v>
      </c>
      <c r="AY80" s="33">
        <v>391.65</v>
      </c>
      <c r="AZ80" s="33">
        <v>117495</v>
      </c>
      <c r="BA80" s="33">
        <v>300</v>
      </c>
      <c r="BB80" s="33">
        <v>391.65</v>
      </c>
      <c r="BC80" s="33">
        <v>117495</v>
      </c>
      <c r="BD80" s="33">
        <v>200</v>
      </c>
      <c r="BE80" s="33">
        <v>391.65</v>
      </c>
      <c r="BF80" s="33">
        <v>78330</v>
      </c>
      <c r="BG80" s="33">
        <v>200</v>
      </c>
      <c r="BH80" s="33">
        <v>391.65</v>
      </c>
      <c r="BI80" s="33">
        <v>78330</v>
      </c>
      <c r="BJ80" s="33">
        <v>100</v>
      </c>
      <c r="BK80" s="33">
        <v>391.65</v>
      </c>
      <c r="BL80" s="33">
        <v>39165</v>
      </c>
      <c r="BM80" s="33">
        <v>100</v>
      </c>
      <c r="BN80" s="33">
        <v>391.65</v>
      </c>
      <c r="BO80" s="33">
        <v>39165</v>
      </c>
      <c r="BP80" s="33"/>
      <c r="BQ80" s="33"/>
      <c r="BR80" s="33"/>
      <c r="BT80" s="65">
        <f t="shared" si="53"/>
        <v>3678</v>
      </c>
      <c r="BU80" s="33">
        <f t="shared" ref="BU80:BU87" si="172">IFERROR(BV80/BT80,0)</f>
        <v>390.53677589961671</v>
      </c>
      <c r="BV80" s="65">
        <f t="shared" si="137"/>
        <v>1436394.2617587904</v>
      </c>
      <c r="BW80" s="33">
        <v>675</v>
      </c>
      <c r="BX80" s="33">
        <v>391.64895356288071</v>
      </c>
      <c r="BY80" s="33">
        <v>264363.04365494446</v>
      </c>
      <c r="BZ80" s="33">
        <v>481</v>
      </c>
      <c r="CA80" s="33">
        <v>391.64895356288071</v>
      </c>
      <c r="CB80" s="33">
        <v>188383.14666374563</v>
      </c>
      <c r="CC80" s="33">
        <v>452</v>
      </c>
      <c r="CD80" s="33">
        <v>391.64974233457866</v>
      </c>
      <c r="CE80" s="33">
        <v>177025.68353522956</v>
      </c>
      <c r="CF80" s="33">
        <v>486</v>
      </c>
      <c r="CG80" s="33">
        <v>391.64986236505445</v>
      </c>
      <c r="CH80" s="33">
        <v>190341.83310941648</v>
      </c>
      <c r="CI80" s="33">
        <v>335</v>
      </c>
      <c r="CJ80" s="33">
        <v>382.7089044840144</v>
      </c>
      <c r="CK80" s="33">
        <v>128207.48300214483</v>
      </c>
      <c r="CL80" s="33">
        <v>295</v>
      </c>
      <c r="CM80" s="33">
        <v>389.05010697762117</v>
      </c>
      <c r="CN80" s="33">
        <v>114769.78155839824</v>
      </c>
      <c r="CO80" s="33">
        <v>332</v>
      </c>
      <c r="CP80" s="33">
        <v>390.87246189984933</v>
      </c>
      <c r="CQ80" s="33">
        <v>129769.65735074997</v>
      </c>
      <c r="CR80" s="33">
        <v>93</v>
      </c>
      <c r="CS80" s="33">
        <v>391.39782548103221</v>
      </c>
      <c r="CT80" s="33">
        <v>36399.997769735994</v>
      </c>
      <c r="CU80" s="33">
        <v>312</v>
      </c>
      <c r="CV80" s="33">
        <v>391.52297412568129</v>
      </c>
      <c r="CW80" s="33">
        <v>122155.16792721256</v>
      </c>
      <c r="CX80" s="34">
        <v>112</v>
      </c>
      <c r="CY80" s="35">
        <v>391.58947981904186</v>
      </c>
      <c r="CZ80" s="33">
        <v>43858.021739732685</v>
      </c>
      <c r="DA80" s="34">
        <v>105</v>
      </c>
      <c r="DB80" s="33">
        <v>391.62328997600173</v>
      </c>
      <c r="DC80" s="33">
        <v>41120.445447480182</v>
      </c>
      <c r="DD80" s="33"/>
      <c r="DE80" s="33"/>
      <c r="DF80" s="66"/>
    </row>
    <row r="81" spans="1:110" ht="24.95" customHeight="1">
      <c r="A81" s="58">
        <v>61</v>
      </c>
      <c r="B81" s="84" t="s">
        <v>177</v>
      </c>
      <c r="C81" s="60" t="s">
        <v>50</v>
      </c>
      <c r="D81" s="75" t="s">
        <v>55</v>
      </c>
      <c r="E81" s="70" t="s">
        <v>71</v>
      </c>
      <c r="F81" s="60" t="s">
        <v>53</v>
      </c>
      <c r="G81" s="64">
        <v>126</v>
      </c>
      <c r="H81" s="76">
        <v>514.49999951444738</v>
      </c>
      <c r="I81" s="76">
        <v>64826.999938820372</v>
      </c>
      <c r="J81" s="33">
        <v>300</v>
      </c>
      <c r="K81" s="33">
        <v>514.5</v>
      </c>
      <c r="L81" s="33">
        <f t="shared" si="108"/>
        <v>154350</v>
      </c>
      <c r="M81" s="34">
        <v>312</v>
      </c>
      <c r="N81" s="33">
        <f t="shared" si="167"/>
        <v>514.4999998563859</v>
      </c>
      <c r="O81" s="33">
        <f t="shared" si="168"/>
        <v>160523.99995519241</v>
      </c>
      <c r="P81" s="137">
        <f t="shared" ref="P81:P87" si="173">G81+J81-M81</f>
        <v>114</v>
      </c>
      <c r="Q81" s="34">
        <f t="shared" ref="Q81:Q87" si="174">N81</f>
        <v>514.4999998563859</v>
      </c>
      <c r="R81" s="33">
        <f t="shared" ref="R81:R87" si="175">P81*Q81</f>
        <v>58652.999983627989</v>
      </c>
      <c r="S81" s="36">
        <v>46959</v>
      </c>
      <c r="T81" s="34">
        <v>4800</v>
      </c>
      <c r="U81" s="34">
        <v>514.5</v>
      </c>
      <c r="V81" s="34">
        <v>2469600</v>
      </c>
      <c r="W81" s="34">
        <v>5166</v>
      </c>
      <c r="X81" s="34">
        <v>514.49948675445455</v>
      </c>
      <c r="Y81" s="34">
        <v>2657904.3485735124</v>
      </c>
      <c r="Z81" s="34">
        <v>300</v>
      </c>
      <c r="AA81" s="33">
        <v>514.49999882080067</v>
      </c>
      <c r="AB81" s="34">
        <f t="shared" si="169"/>
        <v>154349.99964624021</v>
      </c>
      <c r="AC81" s="33">
        <v>480</v>
      </c>
      <c r="AD81" s="33">
        <v>514.49447616070938</v>
      </c>
      <c r="AE81" s="33">
        <v>246957.3485571405</v>
      </c>
      <c r="AF81" s="65">
        <f t="shared" si="170"/>
        <v>4800</v>
      </c>
      <c r="AG81" s="33">
        <f t="shared" si="171"/>
        <v>514.5</v>
      </c>
      <c r="AH81" s="65">
        <f t="shared" si="52"/>
        <v>2469600</v>
      </c>
      <c r="AI81" s="33">
        <v>900</v>
      </c>
      <c r="AJ81" s="33">
        <v>514.5</v>
      </c>
      <c r="AK81" s="33">
        <v>463050</v>
      </c>
      <c r="AL81" s="33"/>
      <c r="AM81" s="33"/>
      <c r="AN81" s="33"/>
      <c r="AO81" s="33">
        <v>700</v>
      </c>
      <c r="AP81" s="33">
        <v>514.5</v>
      </c>
      <c r="AQ81" s="33">
        <v>360150</v>
      </c>
      <c r="AR81" s="33">
        <v>500</v>
      </c>
      <c r="AS81" s="33">
        <v>514.5</v>
      </c>
      <c r="AT81" s="33">
        <v>257250</v>
      </c>
      <c r="AU81" s="33">
        <v>500</v>
      </c>
      <c r="AV81" s="33">
        <v>514.5</v>
      </c>
      <c r="AW81" s="33">
        <v>257250</v>
      </c>
      <c r="AX81" s="33">
        <v>500</v>
      </c>
      <c r="AY81" s="33">
        <v>514.5</v>
      </c>
      <c r="AZ81" s="33">
        <v>257250</v>
      </c>
      <c r="BA81" s="33">
        <v>400</v>
      </c>
      <c r="BB81" s="33">
        <v>514.5</v>
      </c>
      <c r="BC81" s="33">
        <v>205800</v>
      </c>
      <c r="BD81" s="33">
        <v>400</v>
      </c>
      <c r="BE81" s="33">
        <v>514.5</v>
      </c>
      <c r="BF81" s="33">
        <v>205800</v>
      </c>
      <c r="BG81" s="33">
        <v>300</v>
      </c>
      <c r="BH81" s="33">
        <v>514.5</v>
      </c>
      <c r="BI81" s="33">
        <v>154350</v>
      </c>
      <c r="BJ81" s="33">
        <v>300</v>
      </c>
      <c r="BK81" s="33">
        <v>514.5</v>
      </c>
      <c r="BL81" s="33">
        <v>154350</v>
      </c>
      <c r="BM81" s="33">
        <v>300</v>
      </c>
      <c r="BN81" s="33">
        <v>514.5</v>
      </c>
      <c r="BO81" s="33">
        <v>154350</v>
      </c>
      <c r="BP81" s="33"/>
      <c r="BQ81" s="33"/>
      <c r="BR81" s="33"/>
      <c r="BT81" s="65">
        <f t="shared" si="53"/>
        <v>5166</v>
      </c>
      <c r="BU81" s="33">
        <f t="shared" si="172"/>
        <v>514.49948675445455</v>
      </c>
      <c r="BV81" s="65">
        <f t="shared" si="137"/>
        <v>2657904.3485735124</v>
      </c>
      <c r="BW81" s="33">
        <v>594</v>
      </c>
      <c r="BX81" s="33">
        <v>514.49807866459457</v>
      </c>
      <c r="BY81" s="33">
        <v>305611.85872676916</v>
      </c>
      <c r="BZ81" s="33">
        <v>564</v>
      </c>
      <c r="CA81" s="33">
        <v>514.49807866459457</v>
      </c>
      <c r="CB81" s="33">
        <v>290176.91636683134</v>
      </c>
      <c r="CC81" s="33">
        <v>489</v>
      </c>
      <c r="CD81" s="33">
        <v>514.49953737911062</v>
      </c>
      <c r="CE81" s="33">
        <v>251590.2737783851</v>
      </c>
      <c r="CF81" s="33">
        <v>564</v>
      </c>
      <c r="CG81" s="33">
        <v>514.49978530027329</v>
      </c>
      <c r="CH81" s="33">
        <v>290177.87890935416</v>
      </c>
      <c r="CI81" s="33">
        <v>662</v>
      </c>
      <c r="CJ81" s="33">
        <v>514.4999088329123</v>
      </c>
      <c r="CK81" s="33">
        <v>340598.93964738795</v>
      </c>
      <c r="CL81" s="33">
        <v>561</v>
      </c>
      <c r="CM81" s="33">
        <v>514.49997330751467</v>
      </c>
      <c r="CN81" s="33">
        <v>288634.48502551572</v>
      </c>
      <c r="CO81" s="33">
        <v>385</v>
      </c>
      <c r="CP81" s="33">
        <v>514.49999286244906</v>
      </c>
      <c r="CQ81" s="33">
        <v>198082.4972520429</v>
      </c>
      <c r="CR81" s="33">
        <v>154</v>
      </c>
      <c r="CS81" s="33">
        <v>514.49999795161193</v>
      </c>
      <c r="CT81" s="33">
        <v>79232.999684548238</v>
      </c>
      <c r="CU81" s="33">
        <v>497</v>
      </c>
      <c r="CV81" s="33">
        <v>514.49999882080067</v>
      </c>
      <c r="CW81" s="33">
        <v>255706.49941393794</v>
      </c>
      <c r="CX81" s="34">
        <v>384</v>
      </c>
      <c r="CY81" s="35">
        <v>514.49999951444738</v>
      </c>
      <c r="CZ81" s="33">
        <v>197567.99981354779</v>
      </c>
      <c r="DA81" s="34">
        <v>312</v>
      </c>
      <c r="DB81" s="33">
        <v>514.4999998563859</v>
      </c>
      <c r="DC81" s="33">
        <v>160523.99995519241</v>
      </c>
      <c r="DD81" s="33"/>
      <c r="DE81" s="33"/>
      <c r="DF81" s="66"/>
    </row>
    <row r="82" spans="1:110" ht="24.95" customHeight="1">
      <c r="A82" s="58">
        <v>62</v>
      </c>
      <c r="B82" s="84" t="s">
        <v>178</v>
      </c>
      <c r="C82" s="60" t="s">
        <v>50</v>
      </c>
      <c r="D82" s="75" t="s">
        <v>55</v>
      </c>
      <c r="E82" s="70" t="s">
        <v>187</v>
      </c>
      <c r="F82" s="60" t="s">
        <v>53</v>
      </c>
      <c r="G82" s="64">
        <v>197</v>
      </c>
      <c r="H82" s="76">
        <v>345.645786843488</v>
      </c>
      <c r="I82" s="76">
        <v>68092.220008167133</v>
      </c>
      <c r="J82" s="33">
        <v>500</v>
      </c>
      <c r="K82" s="33">
        <v>345.6</v>
      </c>
      <c r="L82" s="33">
        <f t="shared" si="108"/>
        <v>172800</v>
      </c>
      <c r="M82" s="34">
        <v>367</v>
      </c>
      <c r="N82" s="33">
        <f t="shared" si="167"/>
        <v>345.61294118818819</v>
      </c>
      <c r="O82" s="33">
        <f t="shared" si="168"/>
        <v>126839.94941606506</v>
      </c>
      <c r="P82" s="137">
        <f t="shared" si="173"/>
        <v>330</v>
      </c>
      <c r="Q82" s="34">
        <f t="shared" si="174"/>
        <v>345.61294118818819</v>
      </c>
      <c r="R82" s="33">
        <f t="shared" si="175"/>
        <v>114052.2705921021</v>
      </c>
      <c r="S82" s="36">
        <v>46844</v>
      </c>
      <c r="T82" s="34">
        <v>2700</v>
      </c>
      <c r="U82" s="34">
        <v>349.4</v>
      </c>
      <c r="V82" s="34">
        <v>943380</v>
      </c>
      <c r="W82" s="34">
        <v>2570</v>
      </c>
      <c r="X82" s="34">
        <v>350.47725335347309</v>
      </c>
      <c r="Y82" s="34">
        <v>900726.54111842578</v>
      </c>
      <c r="Z82" s="34">
        <v>500</v>
      </c>
      <c r="AA82" s="33">
        <v>345.72754906400218</v>
      </c>
      <c r="AB82" s="34">
        <f t="shared" si="169"/>
        <v>172863.77453200109</v>
      </c>
      <c r="AC82" s="33">
        <v>200</v>
      </c>
      <c r="AD82" s="33">
        <v>356.99405855263888</v>
      </c>
      <c r="AE82" s="33">
        <v>71398.811710527778</v>
      </c>
      <c r="AF82" s="65">
        <f t="shared" si="170"/>
        <v>2700</v>
      </c>
      <c r="AG82" s="33">
        <f t="shared" si="171"/>
        <v>349.4</v>
      </c>
      <c r="AH82" s="65">
        <f t="shared" si="52"/>
        <v>943380</v>
      </c>
      <c r="AI82" s="33">
        <v>400</v>
      </c>
      <c r="AJ82" s="33">
        <v>357</v>
      </c>
      <c r="AK82" s="33">
        <v>142800</v>
      </c>
      <c r="AL82" s="33"/>
      <c r="AM82" s="33"/>
      <c r="AN82" s="33"/>
      <c r="AO82" s="33">
        <v>300</v>
      </c>
      <c r="AP82" s="33">
        <v>357</v>
      </c>
      <c r="AQ82" s="33">
        <v>107100</v>
      </c>
      <c r="AR82" s="33">
        <v>200</v>
      </c>
      <c r="AS82" s="33">
        <v>357</v>
      </c>
      <c r="AT82" s="33">
        <v>71400</v>
      </c>
      <c r="AU82" s="33">
        <v>200</v>
      </c>
      <c r="AV82" s="33">
        <v>345.6</v>
      </c>
      <c r="AW82" s="33">
        <v>69120</v>
      </c>
      <c r="AX82" s="33">
        <v>200</v>
      </c>
      <c r="AY82" s="33">
        <v>345.6</v>
      </c>
      <c r="AZ82" s="33">
        <v>69120</v>
      </c>
      <c r="BA82" s="33">
        <v>200</v>
      </c>
      <c r="BB82" s="33">
        <v>345.6</v>
      </c>
      <c r="BC82" s="33">
        <v>69120</v>
      </c>
      <c r="BD82" s="33">
        <v>200</v>
      </c>
      <c r="BE82" s="33">
        <v>345.6</v>
      </c>
      <c r="BF82" s="33">
        <v>69120</v>
      </c>
      <c r="BG82" s="33">
        <v>200</v>
      </c>
      <c r="BH82" s="33">
        <v>345.6</v>
      </c>
      <c r="BI82" s="33">
        <v>69120</v>
      </c>
      <c r="BJ82" s="33">
        <v>300</v>
      </c>
      <c r="BK82" s="33">
        <v>345.6</v>
      </c>
      <c r="BL82" s="33">
        <v>103680</v>
      </c>
      <c r="BM82" s="33">
        <v>500</v>
      </c>
      <c r="BN82" s="33">
        <v>345.6</v>
      </c>
      <c r="BO82" s="33">
        <v>172800</v>
      </c>
      <c r="BP82" s="33"/>
      <c r="BQ82" s="33"/>
      <c r="BR82" s="33"/>
      <c r="BT82" s="65">
        <f t="shared" si="53"/>
        <v>2570</v>
      </c>
      <c r="BU82" s="33">
        <f t="shared" si="172"/>
        <v>350.47725335347309</v>
      </c>
      <c r="BV82" s="65">
        <f t="shared" si="137"/>
        <v>900726.54111842578</v>
      </c>
      <c r="BW82" s="33">
        <v>366</v>
      </c>
      <c r="BX82" s="33">
        <v>356.99801951754631</v>
      </c>
      <c r="BY82" s="33">
        <v>130661.27514342195</v>
      </c>
      <c r="BZ82" s="33">
        <v>172</v>
      </c>
      <c r="CA82" s="33">
        <v>356.99801951754631</v>
      </c>
      <c r="CB82" s="33">
        <v>61403.659357017968</v>
      </c>
      <c r="CC82" s="33">
        <v>196</v>
      </c>
      <c r="CD82" s="33">
        <v>356.99966080134772</v>
      </c>
      <c r="CE82" s="33">
        <v>69971.933517064157</v>
      </c>
      <c r="CF82" s="33">
        <v>245</v>
      </c>
      <c r="CG82" s="33">
        <v>356.99984615580252</v>
      </c>
      <c r="CH82" s="33">
        <v>87464.962308171613</v>
      </c>
      <c r="CI82" s="33">
        <v>220</v>
      </c>
      <c r="CJ82" s="33">
        <v>349.89713827056727</v>
      </c>
      <c r="CK82" s="33">
        <v>76977.370419524799</v>
      </c>
      <c r="CL82" s="33">
        <v>176</v>
      </c>
      <c r="CM82" s="33">
        <v>347.04189689477511</v>
      </c>
      <c r="CN82" s="33">
        <v>61079.373853480422</v>
      </c>
      <c r="CO82" s="33">
        <v>162</v>
      </c>
      <c r="CP82" s="33">
        <v>346.15457572875965</v>
      </c>
      <c r="CQ82" s="33">
        <v>56077.041268059067</v>
      </c>
      <c r="CR82" s="33">
        <v>153</v>
      </c>
      <c r="CS82" s="33">
        <v>345.84902436305185</v>
      </c>
      <c r="CT82" s="33">
        <v>52914.900727546934</v>
      </c>
      <c r="CU82" s="33">
        <v>242</v>
      </c>
      <c r="CV82" s="33">
        <v>345.72754906400218</v>
      </c>
      <c r="CW82" s="33">
        <v>83666.066873488526</v>
      </c>
      <c r="CX82" s="34">
        <v>271</v>
      </c>
      <c r="CY82" s="35">
        <v>345.645786843488</v>
      </c>
      <c r="CZ82" s="33">
        <v>93670.008234585242</v>
      </c>
      <c r="DA82" s="34">
        <v>367</v>
      </c>
      <c r="DB82" s="33">
        <v>345.61294118818819</v>
      </c>
      <c r="DC82" s="33">
        <v>126839.94941606506</v>
      </c>
      <c r="DD82" s="33"/>
      <c r="DE82" s="33"/>
      <c r="DF82" s="66"/>
    </row>
    <row r="83" spans="1:110" ht="24.95" customHeight="1">
      <c r="A83" s="58">
        <v>63</v>
      </c>
      <c r="B83" s="84" t="s">
        <v>179</v>
      </c>
      <c r="C83" s="60" t="s">
        <v>50</v>
      </c>
      <c r="D83" s="75" t="s">
        <v>112</v>
      </c>
      <c r="E83" s="70" t="s">
        <v>56</v>
      </c>
      <c r="F83" s="60" t="s">
        <v>53</v>
      </c>
      <c r="G83" s="64">
        <v>62</v>
      </c>
      <c r="H83" s="76">
        <v>749.69999999999993</v>
      </c>
      <c r="I83" s="76">
        <v>46481.399999999994</v>
      </c>
      <c r="J83" s="33">
        <v>200</v>
      </c>
      <c r="K83" s="33">
        <v>749.7</v>
      </c>
      <c r="L83" s="33">
        <f t="shared" si="108"/>
        <v>149940</v>
      </c>
      <c r="M83" s="34">
        <v>170</v>
      </c>
      <c r="N83" s="33">
        <f t="shared" si="167"/>
        <v>749.69999999999993</v>
      </c>
      <c r="O83" s="33">
        <f t="shared" si="168"/>
        <v>127448.99999999999</v>
      </c>
      <c r="P83" s="137">
        <f t="shared" si="173"/>
        <v>92</v>
      </c>
      <c r="Q83" s="34">
        <f t="shared" si="174"/>
        <v>749.69999999999993</v>
      </c>
      <c r="R83" s="33">
        <f t="shared" si="175"/>
        <v>68972.399999999994</v>
      </c>
      <c r="S83" s="36">
        <v>47026</v>
      </c>
      <c r="T83" s="34">
        <v>2700</v>
      </c>
      <c r="U83" s="34">
        <v>749.7</v>
      </c>
      <c r="V83" s="34">
        <v>2024190</v>
      </c>
      <c r="W83" s="34">
        <v>2827</v>
      </c>
      <c r="X83" s="34">
        <v>749.69999999999993</v>
      </c>
      <c r="Y83" s="34">
        <v>2119401.9</v>
      </c>
      <c r="Z83" s="34">
        <v>300</v>
      </c>
      <c r="AA83" s="33">
        <v>749.69999999999993</v>
      </c>
      <c r="AB83" s="34">
        <f t="shared" si="169"/>
        <v>224909.99999999997</v>
      </c>
      <c r="AC83" s="33">
        <v>219</v>
      </c>
      <c r="AD83" s="33">
        <v>749.69999999999993</v>
      </c>
      <c r="AE83" s="33">
        <v>164184.29999999999</v>
      </c>
      <c r="AF83" s="65">
        <f t="shared" si="170"/>
        <v>2700</v>
      </c>
      <c r="AG83" s="33">
        <f t="shared" si="171"/>
        <v>749.7</v>
      </c>
      <c r="AH83" s="65">
        <f t="shared" si="52"/>
        <v>2024190</v>
      </c>
      <c r="AI83" s="33">
        <v>400</v>
      </c>
      <c r="AJ83" s="33">
        <v>749.7</v>
      </c>
      <c r="AK83" s="33">
        <v>299880</v>
      </c>
      <c r="AL83" s="33"/>
      <c r="AM83" s="33"/>
      <c r="AN83" s="33"/>
      <c r="AO83" s="33">
        <v>400</v>
      </c>
      <c r="AP83" s="33">
        <v>749.7</v>
      </c>
      <c r="AQ83" s="33">
        <v>299880</v>
      </c>
      <c r="AR83" s="33">
        <v>300</v>
      </c>
      <c r="AS83" s="33">
        <v>749.7</v>
      </c>
      <c r="AT83" s="33">
        <v>224910</v>
      </c>
      <c r="AU83" s="33">
        <v>300</v>
      </c>
      <c r="AV83" s="33">
        <v>749.7</v>
      </c>
      <c r="AW83" s="33">
        <v>224910</v>
      </c>
      <c r="AX83" s="33">
        <v>300</v>
      </c>
      <c r="AY83" s="33">
        <v>749.7</v>
      </c>
      <c r="AZ83" s="33">
        <v>224910</v>
      </c>
      <c r="BA83" s="33">
        <v>200</v>
      </c>
      <c r="BB83" s="33">
        <v>749.7</v>
      </c>
      <c r="BC83" s="33">
        <v>149940</v>
      </c>
      <c r="BD83" s="33">
        <v>200</v>
      </c>
      <c r="BE83" s="33">
        <v>749.7</v>
      </c>
      <c r="BF83" s="33">
        <v>149940</v>
      </c>
      <c r="BG83" s="33">
        <v>200</v>
      </c>
      <c r="BH83" s="33">
        <v>749.7</v>
      </c>
      <c r="BI83" s="33">
        <v>149940</v>
      </c>
      <c r="BJ83" s="33">
        <v>200</v>
      </c>
      <c r="BK83" s="33">
        <v>749.7</v>
      </c>
      <c r="BL83" s="33">
        <v>149940</v>
      </c>
      <c r="BM83" s="33">
        <v>200</v>
      </c>
      <c r="BN83" s="33">
        <v>749.7</v>
      </c>
      <c r="BO83" s="33">
        <v>149940</v>
      </c>
      <c r="BP83" s="33"/>
      <c r="BQ83" s="33"/>
      <c r="BR83" s="33"/>
      <c r="BT83" s="65">
        <f t="shared" si="53"/>
        <v>2827</v>
      </c>
      <c r="BU83" s="33">
        <f t="shared" si="172"/>
        <v>749.69999999999993</v>
      </c>
      <c r="BV83" s="65">
        <f t="shared" si="137"/>
        <v>2119401.9</v>
      </c>
      <c r="BW83" s="33">
        <v>301</v>
      </c>
      <c r="BX83" s="33">
        <v>749.69999999999993</v>
      </c>
      <c r="BY83" s="33">
        <v>225659.69999999998</v>
      </c>
      <c r="BZ83" s="33">
        <v>242</v>
      </c>
      <c r="CA83" s="33">
        <v>749.69999999999993</v>
      </c>
      <c r="CB83" s="33">
        <v>181427.4</v>
      </c>
      <c r="CC83" s="33">
        <v>231</v>
      </c>
      <c r="CD83" s="33">
        <v>749.7</v>
      </c>
      <c r="CE83" s="33">
        <v>173180.7</v>
      </c>
      <c r="CF83" s="33">
        <v>329</v>
      </c>
      <c r="CG83" s="33">
        <v>749.7</v>
      </c>
      <c r="CH83" s="33">
        <v>246651.30000000002</v>
      </c>
      <c r="CI83" s="33">
        <v>332</v>
      </c>
      <c r="CJ83" s="33">
        <v>749.7</v>
      </c>
      <c r="CK83" s="33">
        <v>248900.40000000002</v>
      </c>
      <c r="CL83" s="33">
        <v>284</v>
      </c>
      <c r="CM83" s="33">
        <v>749.7</v>
      </c>
      <c r="CN83" s="33">
        <v>212914.80000000002</v>
      </c>
      <c r="CO83" s="33">
        <v>332</v>
      </c>
      <c r="CP83" s="33">
        <v>749.7</v>
      </c>
      <c r="CQ83" s="33">
        <v>248900.40000000002</v>
      </c>
      <c r="CR83" s="33">
        <v>55</v>
      </c>
      <c r="CS83" s="33">
        <v>749.7</v>
      </c>
      <c r="CT83" s="33">
        <v>41233.5</v>
      </c>
      <c r="CU83" s="33">
        <v>301</v>
      </c>
      <c r="CV83" s="33">
        <v>749.69999999999993</v>
      </c>
      <c r="CW83" s="33">
        <v>225659.69999999998</v>
      </c>
      <c r="CX83" s="34">
        <v>250</v>
      </c>
      <c r="CY83" s="35">
        <v>749.69999999999993</v>
      </c>
      <c r="CZ83" s="33">
        <v>187424.99999999997</v>
      </c>
      <c r="DA83" s="34">
        <v>170</v>
      </c>
      <c r="DB83" s="33">
        <v>749.69999999999993</v>
      </c>
      <c r="DC83" s="33">
        <v>127448.99999999999</v>
      </c>
      <c r="DD83" s="33"/>
      <c r="DE83" s="33"/>
      <c r="DF83" s="66"/>
    </row>
    <row r="84" spans="1:110" ht="24.95" customHeight="1">
      <c r="A84" s="58">
        <v>64</v>
      </c>
      <c r="B84" s="84" t="s">
        <v>180</v>
      </c>
      <c r="C84" s="60" t="s">
        <v>50</v>
      </c>
      <c r="D84" s="75" t="s">
        <v>55</v>
      </c>
      <c r="E84" s="88" t="s">
        <v>183</v>
      </c>
      <c r="F84" s="60" t="s">
        <v>53</v>
      </c>
      <c r="G84" s="64">
        <v>130</v>
      </c>
      <c r="H84" s="76">
        <v>3296.9999999666106</v>
      </c>
      <c r="I84" s="76">
        <v>428609.9999956594</v>
      </c>
      <c r="J84" s="33">
        <v>300</v>
      </c>
      <c r="K84" s="33">
        <v>3297</v>
      </c>
      <c r="L84" s="33">
        <f t="shared" si="108"/>
        <v>989100</v>
      </c>
      <c r="M84" s="34">
        <v>299</v>
      </c>
      <c r="N84" s="33">
        <f t="shared" si="167"/>
        <v>3296.9999999899055</v>
      </c>
      <c r="O84" s="33">
        <f t="shared" si="168"/>
        <v>985802.9999969817</v>
      </c>
      <c r="P84" s="137">
        <f t="shared" si="173"/>
        <v>131</v>
      </c>
      <c r="Q84" s="34">
        <f t="shared" si="174"/>
        <v>3296.9999999899055</v>
      </c>
      <c r="R84" s="33">
        <f t="shared" si="175"/>
        <v>431906.99999867764</v>
      </c>
      <c r="S84" s="36">
        <v>47022</v>
      </c>
      <c r="T84" s="34">
        <v>2660</v>
      </c>
      <c r="U84" s="34">
        <v>3297</v>
      </c>
      <c r="V84" s="34">
        <v>8770020</v>
      </c>
      <c r="W84" s="34">
        <v>2688</v>
      </c>
      <c r="X84" s="34">
        <v>3296.99972782751</v>
      </c>
      <c r="Y84" s="34">
        <v>8862335.2684003469</v>
      </c>
      <c r="Z84" s="34">
        <v>300</v>
      </c>
      <c r="AA84" s="33">
        <v>3296.9999998702947</v>
      </c>
      <c r="AB84" s="34">
        <f t="shared" si="169"/>
        <v>989099.99996108841</v>
      </c>
      <c r="AC84" s="33">
        <v>159</v>
      </c>
      <c r="AD84" s="33">
        <v>3296.995398736</v>
      </c>
      <c r="AE84" s="33">
        <v>524222.26839902397</v>
      </c>
      <c r="AF84" s="65">
        <f t="shared" si="170"/>
        <v>2660</v>
      </c>
      <c r="AG84" s="33">
        <f t="shared" si="171"/>
        <v>3297</v>
      </c>
      <c r="AH84" s="65">
        <f t="shared" si="52"/>
        <v>8770020</v>
      </c>
      <c r="AI84" s="33">
        <v>460</v>
      </c>
      <c r="AJ84" s="33">
        <v>3297</v>
      </c>
      <c r="AK84" s="33">
        <v>1516620</v>
      </c>
      <c r="AL84" s="33"/>
      <c r="AM84" s="33"/>
      <c r="AN84" s="33"/>
      <c r="AO84" s="33">
        <v>340</v>
      </c>
      <c r="AP84" s="33">
        <v>3297</v>
      </c>
      <c r="AQ84" s="33">
        <v>1120980</v>
      </c>
      <c r="AR84" s="33">
        <v>200</v>
      </c>
      <c r="AS84" s="33">
        <v>3297</v>
      </c>
      <c r="AT84" s="33">
        <v>659400</v>
      </c>
      <c r="AU84" s="33">
        <v>200</v>
      </c>
      <c r="AV84" s="33">
        <v>3297</v>
      </c>
      <c r="AW84" s="33">
        <v>659400</v>
      </c>
      <c r="AX84" s="33">
        <v>180</v>
      </c>
      <c r="AY84" s="33">
        <v>3297</v>
      </c>
      <c r="AZ84" s="33">
        <v>593460</v>
      </c>
      <c r="BA84" s="33">
        <v>180</v>
      </c>
      <c r="BB84" s="33">
        <v>3297</v>
      </c>
      <c r="BC84" s="33">
        <v>593460</v>
      </c>
      <c r="BD84" s="33">
        <v>200</v>
      </c>
      <c r="BE84" s="33">
        <v>3297</v>
      </c>
      <c r="BF84" s="33">
        <v>659400</v>
      </c>
      <c r="BG84" s="33">
        <v>300</v>
      </c>
      <c r="BH84" s="33">
        <v>3297</v>
      </c>
      <c r="BI84" s="33">
        <v>989100</v>
      </c>
      <c r="BJ84" s="33">
        <v>300</v>
      </c>
      <c r="BK84" s="33">
        <v>3297</v>
      </c>
      <c r="BL84" s="33">
        <v>989100</v>
      </c>
      <c r="BM84" s="33">
        <v>300</v>
      </c>
      <c r="BN84" s="33">
        <v>3297</v>
      </c>
      <c r="BO84" s="33">
        <v>989100</v>
      </c>
      <c r="BP84" s="33"/>
      <c r="BQ84" s="33"/>
      <c r="BR84" s="33"/>
      <c r="BT84" s="65">
        <f t="shared" si="53"/>
        <v>2688</v>
      </c>
      <c r="BU84" s="33">
        <f t="shared" si="172"/>
        <v>3296.99972782751</v>
      </c>
      <c r="BV84" s="65">
        <f t="shared" si="137"/>
        <v>8862335.2684003469</v>
      </c>
      <c r="BW84" s="33">
        <v>296</v>
      </c>
      <c r="BX84" s="33">
        <v>3296.9988180921227</v>
      </c>
      <c r="BY84" s="33">
        <v>975911.65015526838</v>
      </c>
      <c r="BZ84" s="33">
        <v>284</v>
      </c>
      <c r="CA84" s="33">
        <v>3296.9988180921223</v>
      </c>
      <c r="CB84" s="33">
        <v>936347.66433816275</v>
      </c>
      <c r="CC84" s="33">
        <v>202</v>
      </c>
      <c r="CD84" s="33">
        <v>3296.9998783788724</v>
      </c>
      <c r="CE84" s="33">
        <v>665993.97543253226</v>
      </c>
      <c r="CF84" s="33">
        <v>269</v>
      </c>
      <c r="CG84" s="33">
        <v>3296.9999428993642</v>
      </c>
      <c r="CH84" s="33">
        <v>886892.98463992903</v>
      </c>
      <c r="CI84" s="33">
        <v>224</v>
      </c>
      <c r="CJ84" s="33">
        <v>3296.9999799776992</v>
      </c>
      <c r="CK84" s="33">
        <v>738527.99551500462</v>
      </c>
      <c r="CL84" s="33">
        <v>165</v>
      </c>
      <c r="CM84" s="33">
        <v>3296.9999936292675</v>
      </c>
      <c r="CN84" s="33">
        <v>544004.99894882913</v>
      </c>
      <c r="CO84" s="33">
        <v>174</v>
      </c>
      <c r="CP84" s="33">
        <v>3296.9999977394173</v>
      </c>
      <c r="CQ84" s="33">
        <v>573677.99960665859</v>
      </c>
      <c r="CR84" s="33">
        <v>245</v>
      </c>
      <c r="CS84" s="33">
        <v>3296.9999992217668</v>
      </c>
      <c r="CT84" s="33">
        <v>807764.99980933289</v>
      </c>
      <c r="CU84" s="33">
        <v>256</v>
      </c>
      <c r="CV84" s="33">
        <v>3296.9999998702947</v>
      </c>
      <c r="CW84" s="33">
        <v>844031.99996679544</v>
      </c>
      <c r="CX84" s="34">
        <v>274</v>
      </c>
      <c r="CY84" s="35">
        <v>3296.9999999666106</v>
      </c>
      <c r="CZ84" s="33">
        <v>903377.99999085127</v>
      </c>
      <c r="DA84" s="34">
        <v>299</v>
      </c>
      <c r="DB84" s="33">
        <v>3296.9999999899055</v>
      </c>
      <c r="DC84" s="33">
        <v>985802.9999969817</v>
      </c>
      <c r="DD84" s="33"/>
      <c r="DE84" s="33"/>
      <c r="DF84" s="66"/>
    </row>
    <row r="85" spans="1:110" ht="24.95" customHeight="1">
      <c r="A85" s="58">
        <v>65</v>
      </c>
      <c r="B85" s="84" t="s">
        <v>182</v>
      </c>
      <c r="C85" s="60" t="s">
        <v>50</v>
      </c>
      <c r="D85" s="75" t="s">
        <v>181</v>
      </c>
      <c r="E85" s="70" t="s">
        <v>186</v>
      </c>
      <c r="F85" s="60" t="s">
        <v>53</v>
      </c>
      <c r="G85" s="64">
        <v>0</v>
      </c>
      <c r="H85" s="76">
        <v>2624.7902649405287</v>
      </c>
      <c r="I85" s="76">
        <v>0</v>
      </c>
      <c r="J85" s="33"/>
      <c r="K85" s="33">
        <v>0</v>
      </c>
      <c r="L85" s="33">
        <f t="shared" si="108"/>
        <v>0</v>
      </c>
      <c r="M85" s="34"/>
      <c r="N85" s="33">
        <f t="shared" si="167"/>
        <v>0</v>
      </c>
      <c r="O85" s="33">
        <f t="shared" si="168"/>
        <v>0</v>
      </c>
      <c r="P85" s="137">
        <f t="shared" si="173"/>
        <v>0</v>
      </c>
      <c r="Q85" s="34">
        <f t="shared" si="174"/>
        <v>0</v>
      </c>
      <c r="R85" s="33">
        <f t="shared" si="175"/>
        <v>0</v>
      </c>
      <c r="S85" s="36">
        <v>46744</v>
      </c>
      <c r="T85" s="34">
        <v>2050</v>
      </c>
      <c r="U85" s="34">
        <v>2625</v>
      </c>
      <c r="V85" s="34">
        <v>5381250</v>
      </c>
      <c r="W85" s="34">
        <v>2272</v>
      </c>
      <c r="X85" s="34">
        <v>2567.1077804034603</v>
      </c>
      <c r="Y85" s="34">
        <v>5832468.8770766621</v>
      </c>
      <c r="Z85" s="34">
        <v>50</v>
      </c>
      <c r="AA85" s="33">
        <v>2624.7902649405287</v>
      </c>
      <c r="AB85" s="34">
        <f t="shared" si="169"/>
        <v>131239.51324702642</v>
      </c>
      <c r="AC85" s="33">
        <v>222</v>
      </c>
      <c r="AD85" s="33">
        <v>2032.5174643092871</v>
      </c>
      <c r="AE85" s="33">
        <v>451218.87707666174</v>
      </c>
      <c r="AF85" s="65">
        <f t="shared" si="170"/>
        <v>2050</v>
      </c>
      <c r="AG85" s="33">
        <f t="shared" si="171"/>
        <v>2625</v>
      </c>
      <c r="AH85" s="65">
        <f t="shared" si="52"/>
        <v>5381250</v>
      </c>
      <c r="AI85" s="33">
        <v>480</v>
      </c>
      <c r="AJ85" s="33">
        <v>2625</v>
      </c>
      <c r="AK85" s="33">
        <v>1260000</v>
      </c>
      <c r="AL85" s="33"/>
      <c r="AM85" s="33"/>
      <c r="AN85" s="33"/>
      <c r="AO85" s="33">
        <v>350</v>
      </c>
      <c r="AP85" s="33">
        <v>2625</v>
      </c>
      <c r="AQ85" s="33">
        <v>918750</v>
      </c>
      <c r="AR85" s="33">
        <v>250</v>
      </c>
      <c r="AS85" s="33">
        <v>2625</v>
      </c>
      <c r="AT85" s="33">
        <v>656250</v>
      </c>
      <c r="AU85" s="33">
        <v>250</v>
      </c>
      <c r="AV85" s="33">
        <v>2625</v>
      </c>
      <c r="AW85" s="33">
        <v>656250</v>
      </c>
      <c r="AX85" s="33">
        <v>240</v>
      </c>
      <c r="AY85" s="33">
        <v>2625</v>
      </c>
      <c r="AZ85" s="33">
        <v>630000</v>
      </c>
      <c r="BA85" s="33">
        <v>240</v>
      </c>
      <c r="BB85" s="33">
        <v>2625</v>
      </c>
      <c r="BC85" s="33">
        <v>630000</v>
      </c>
      <c r="BD85" s="33">
        <v>200</v>
      </c>
      <c r="BE85" s="33">
        <v>2625</v>
      </c>
      <c r="BF85" s="33">
        <v>525000</v>
      </c>
      <c r="BG85" s="33">
        <v>40</v>
      </c>
      <c r="BH85" s="33">
        <v>2625</v>
      </c>
      <c r="BI85" s="33">
        <v>105000</v>
      </c>
      <c r="BJ85" s="33"/>
      <c r="BK85" s="33">
        <v>0</v>
      </c>
      <c r="BL85" s="33">
        <v>0</v>
      </c>
      <c r="BM85" s="33"/>
      <c r="BN85" s="33">
        <v>0</v>
      </c>
      <c r="BO85" s="33">
        <v>0</v>
      </c>
      <c r="BP85" s="33"/>
      <c r="BQ85" s="33"/>
      <c r="BR85" s="33"/>
      <c r="BT85" s="65">
        <f t="shared" si="53"/>
        <v>2272</v>
      </c>
      <c r="BU85" s="33">
        <f t="shared" si="172"/>
        <v>2567.1077804034603</v>
      </c>
      <c r="BV85" s="65">
        <f t="shared" si="137"/>
        <v>5832468.8770766621</v>
      </c>
      <c r="BW85" s="33">
        <v>373</v>
      </c>
      <c r="BX85" s="33">
        <v>2437.6337280294324</v>
      </c>
      <c r="BY85" s="33">
        <v>909237.38055497827</v>
      </c>
      <c r="BZ85" s="33">
        <v>266</v>
      </c>
      <c r="CA85" s="33">
        <v>2437.6337280294324</v>
      </c>
      <c r="CB85" s="33">
        <v>648410.57165582897</v>
      </c>
      <c r="CC85" s="33">
        <v>224</v>
      </c>
      <c r="CD85" s="33">
        <v>2596.4187042756762</v>
      </c>
      <c r="CE85" s="33">
        <v>581597.78975775151</v>
      </c>
      <c r="CF85" s="33">
        <v>284</v>
      </c>
      <c r="CG85" s="33">
        <v>2612.6950685833776</v>
      </c>
      <c r="CH85" s="33">
        <v>742005.39947767928</v>
      </c>
      <c r="CI85" s="33">
        <v>265</v>
      </c>
      <c r="CJ85" s="33">
        <v>2620.290705260305</v>
      </c>
      <c r="CK85" s="33">
        <v>694377.03689398081</v>
      </c>
      <c r="CL85" s="33">
        <v>238</v>
      </c>
      <c r="CM85" s="33">
        <v>2623.264996674849</v>
      </c>
      <c r="CN85" s="33">
        <v>624337.06920861406</v>
      </c>
      <c r="CO85" s="33">
        <v>230</v>
      </c>
      <c r="CP85" s="33">
        <v>2624.3550511199701</v>
      </c>
      <c r="CQ85" s="33">
        <v>603601.66175759316</v>
      </c>
      <c r="CR85" s="33">
        <v>230</v>
      </c>
      <c r="CS85" s="33">
        <v>2624.7214993472594</v>
      </c>
      <c r="CT85" s="33">
        <v>603685.9448498697</v>
      </c>
      <c r="CU85" s="33">
        <v>89</v>
      </c>
      <c r="CV85" s="33">
        <v>2624.7902649405287</v>
      </c>
      <c r="CW85" s="33">
        <v>233606.33357970705</v>
      </c>
      <c r="CX85" s="34">
        <v>73</v>
      </c>
      <c r="CY85" s="35">
        <v>2624.7902649405287</v>
      </c>
      <c r="CZ85" s="33">
        <v>191609.6893406586</v>
      </c>
      <c r="DA85" s="34"/>
      <c r="DB85" s="33">
        <v>0</v>
      </c>
      <c r="DC85" s="33">
        <v>0</v>
      </c>
      <c r="DD85" s="33"/>
      <c r="DE85" s="33"/>
      <c r="DF85" s="66"/>
    </row>
    <row r="86" spans="1:110" ht="24.95" customHeight="1">
      <c r="A86" s="58">
        <v>66</v>
      </c>
      <c r="B86" s="84" t="s">
        <v>311</v>
      </c>
      <c r="C86" s="60" t="s">
        <v>50</v>
      </c>
      <c r="D86" s="75" t="s">
        <v>312</v>
      </c>
      <c r="E86" s="70" t="s">
        <v>313</v>
      </c>
      <c r="F86" s="60" t="s">
        <v>53</v>
      </c>
      <c r="G86" s="64">
        <v>0</v>
      </c>
      <c r="H86" s="76">
        <v>463.05000000000007</v>
      </c>
      <c r="I86" s="76">
        <v>0</v>
      </c>
      <c r="J86" s="33"/>
      <c r="K86" s="33">
        <v>0</v>
      </c>
      <c r="L86" s="33">
        <f t="shared" si="108"/>
        <v>0</v>
      </c>
      <c r="M86" s="34"/>
      <c r="N86" s="33">
        <f t="shared" si="167"/>
        <v>0</v>
      </c>
      <c r="O86" s="33">
        <f t="shared" si="168"/>
        <v>0</v>
      </c>
      <c r="P86" s="137">
        <f t="shared" si="173"/>
        <v>0</v>
      </c>
      <c r="Q86" s="34">
        <f t="shared" si="174"/>
        <v>0</v>
      </c>
      <c r="R86" s="33">
        <f t="shared" si="175"/>
        <v>0</v>
      </c>
      <c r="S86" s="36">
        <v>46854</v>
      </c>
      <c r="T86" s="34">
        <v>600</v>
      </c>
      <c r="U86" s="34">
        <v>463.05</v>
      </c>
      <c r="V86" s="34">
        <v>277830</v>
      </c>
      <c r="W86" s="34">
        <v>664</v>
      </c>
      <c r="X86" s="34">
        <v>463.05</v>
      </c>
      <c r="Y86" s="34">
        <v>307465.2</v>
      </c>
      <c r="Z86" s="34"/>
      <c r="AA86" s="33">
        <v>463.05000000000007</v>
      </c>
      <c r="AB86" s="34">
        <f t="shared" si="169"/>
        <v>0</v>
      </c>
      <c r="AC86" s="33">
        <v>64</v>
      </c>
      <c r="AD86" s="33">
        <v>463.05</v>
      </c>
      <c r="AE86" s="33">
        <v>29635.200000000001</v>
      </c>
      <c r="AF86" s="65">
        <f t="shared" si="170"/>
        <v>600</v>
      </c>
      <c r="AG86" s="33">
        <f t="shared" si="171"/>
        <v>463.05</v>
      </c>
      <c r="AH86" s="65">
        <f t="shared" si="52"/>
        <v>277830</v>
      </c>
      <c r="AI86" s="33">
        <v>300</v>
      </c>
      <c r="AJ86" s="33">
        <v>463.05</v>
      </c>
      <c r="AK86" s="33">
        <v>138915</v>
      </c>
      <c r="AL86" s="33"/>
      <c r="AM86" s="33"/>
      <c r="AN86" s="33"/>
      <c r="AO86" s="33"/>
      <c r="AP86" s="33"/>
      <c r="AQ86" s="33"/>
      <c r="AR86" s="33">
        <v>200</v>
      </c>
      <c r="AS86" s="33">
        <v>463.05</v>
      </c>
      <c r="AT86" s="33">
        <v>92610</v>
      </c>
      <c r="AU86" s="33"/>
      <c r="AV86" s="33">
        <v>0</v>
      </c>
      <c r="AW86" s="33">
        <v>0</v>
      </c>
      <c r="AX86" s="33"/>
      <c r="AY86" s="33">
        <v>0</v>
      </c>
      <c r="AZ86" s="33">
        <v>0</v>
      </c>
      <c r="BA86" s="33">
        <v>100</v>
      </c>
      <c r="BB86" s="33">
        <v>463.05</v>
      </c>
      <c r="BC86" s="33">
        <v>46305</v>
      </c>
      <c r="BD86" s="33"/>
      <c r="BE86" s="33"/>
      <c r="BF86" s="33">
        <v>0</v>
      </c>
      <c r="BG86" s="33"/>
      <c r="BH86" s="33"/>
      <c r="BI86" s="33">
        <v>0</v>
      </c>
      <c r="BJ86" s="33"/>
      <c r="BK86" s="33">
        <v>0</v>
      </c>
      <c r="BL86" s="33">
        <v>0</v>
      </c>
      <c r="BM86" s="33"/>
      <c r="BN86" s="33">
        <v>0</v>
      </c>
      <c r="BO86" s="33">
        <v>0</v>
      </c>
      <c r="BP86" s="33"/>
      <c r="BQ86" s="33"/>
      <c r="BR86" s="33"/>
      <c r="BT86" s="65">
        <f t="shared" si="53"/>
        <v>664</v>
      </c>
      <c r="BU86" s="33">
        <f t="shared" si="172"/>
        <v>463.05</v>
      </c>
      <c r="BV86" s="65">
        <f t="shared" si="137"/>
        <v>307465.2</v>
      </c>
      <c r="BW86" s="33">
        <v>102</v>
      </c>
      <c r="BX86" s="33">
        <v>463.05</v>
      </c>
      <c r="BY86" s="33">
        <v>47231.1</v>
      </c>
      <c r="BZ86" s="33">
        <v>114</v>
      </c>
      <c r="CA86" s="33">
        <v>463.05</v>
      </c>
      <c r="CB86" s="33">
        <v>52787.700000000004</v>
      </c>
      <c r="CC86" s="33">
        <v>85</v>
      </c>
      <c r="CD86" s="33">
        <v>463.05000000000007</v>
      </c>
      <c r="CE86" s="33">
        <v>39359.250000000007</v>
      </c>
      <c r="CF86" s="33">
        <v>145</v>
      </c>
      <c r="CG86" s="33">
        <v>463.05</v>
      </c>
      <c r="CH86" s="33">
        <v>67142.25</v>
      </c>
      <c r="CI86" s="33">
        <v>78</v>
      </c>
      <c r="CJ86" s="33">
        <v>463.05</v>
      </c>
      <c r="CK86" s="33">
        <v>36117.9</v>
      </c>
      <c r="CL86" s="33">
        <v>20</v>
      </c>
      <c r="CM86" s="33">
        <v>463.05</v>
      </c>
      <c r="CN86" s="33">
        <v>9261</v>
      </c>
      <c r="CO86" s="33">
        <v>58</v>
      </c>
      <c r="CP86" s="33">
        <v>463.05</v>
      </c>
      <c r="CQ86" s="33">
        <v>26856.9</v>
      </c>
      <c r="CR86" s="33">
        <v>10</v>
      </c>
      <c r="CS86" s="33">
        <v>463.05</v>
      </c>
      <c r="CT86" s="33">
        <v>4630.5</v>
      </c>
      <c r="CU86" s="33">
        <v>31</v>
      </c>
      <c r="CV86" s="33">
        <v>463.05000000000007</v>
      </c>
      <c r="CW86" s="33">
        <v>14354.550000000003</v>
      </c>
      <c r="CX86" s="34">
        <v>21</v>
      </c>
      <c r="CY86" s="35">
        <v>463.05000000000007</v>
      </c>
      <c r="CZ86" s="33">
        <v>9724.0500000000011</v>
      </c>
      <c r="DA86" s="34"/>
      <c r="DB86" s="33">
        <v>0</v>
      </c>
      <c r="DC86" s="33">
        <v>0</v>
      </c>
      <c r="DD86" s="33"/>
      <c r="DE86" s="33"/>
      <c r="DF86" s="66"/>
    </row>
    <row r="87" spans="1:110" ht="24.95" customHeight="1">
      <c r="A87" s="58">
        <v>67</v>
      </c>
      <c r="B87" s="84" t="s">
        <v>184</v>
      </c>
      <c r="C87" s="60" t="s">
        <v>50</v>
      </c>
      <c r="D87" s="75" t="s">
        <v>75</v>
      </c>
      <c r="E87" s="70" t="s">
        <v>185</v>
      </c>
      <c r="F87" s="60" t="s">
        <v>53</v>
      </c>
      <c r="G87" s="64">
        <v>0</v>
      </c>
      <c r="H87" s="76">
        <v>1047.9000000000001</v>
      </c>
      <c r="I87" s="76">
        <v>0</v>
      </c>
      <c r="J87" s="33"/>
      <c r="K87" s="33">
        <v>0</v>
      </c>
      <c r="L87" s="33">
        <f t="shared" si="108"/>
        <v>0</v>
      </c>
      <c r="M87" s="34"/>
      <c r="N87" s="33">
        <f t="shared" si="167"/>
        <v>0</v>
      </c>
      <c r="O87" s="33">
        <f t="shared" si="168"/>
        <v>0</v>
      </c>
      <c r="P87" s="137">
        <f t="shared" si="173"/>
        <v>0</v>
      </c>
      <c r="Q87" s="34">
        <f t="shared" si="174"/>
        <v>0</v>
      </c>
      <c r="R87" s="33">
        <f t="shared" si="175"/>
        <v>0</v>
      </c>
      <c r="S87" s="36">
        <v>46853</v>
      </c>
      <c r="T87" s="34">
        <v>200</v>
      </c>
      <c r="U87" s="34">
        <v>1047.9000000000001</v>
      </c>
      <c r="V87" s="34">
        <v>209580.00000000003</v>
      </c>
      <c r="W87" s="34">
        <v>203</v>
      </c>
      <c r="X87" s="34">
        <v>1047.8995073891626</v>
      </c>
      <c r="Y87" s="34">
        <v>212723.6</v>
      </c>
      <c r="Z87" s="34"/>
      <c r="AA87" s="33">
        <v>1047.9000000000001</v>
      </c>
      <c r="AB87" s="34">
        <f t="shared" si="169"/>
        <v>0</v>
      </c>
      <c r="AC87" s="33">
        <v>3</v>
      </c>
      <c r="AD87" s="33">
        <v>1047.9000000000001</v>
      </c>
      <c r="AE87" s="33">
        <v>3143.7000000000003</v>
      </c>
      <c r="AF87" s="65">
        <f t="shared" si="170"/>
        <v>200</v>
      </c>
      <c r="AG87" s="33">
        <f t="shared" si="171"/>
        <v>1047.9000000000001</v>
      </c>
      <c r="AH87" s="65">
        <f t="shared" si="52"/>
        <v>209580.00000000003</v>
      </c>
      <c r="AI87" s="33">
        <v>100</v>
      </c>
      <c r="AJ87" s="33">
        <v>1047.9000000000001</v>
      </c>
      <c r="AK87" s="33">
        <v>104790.00000000001</v>
      </c>
      <c r="AL87" s="33"/>
      <c r="AM87" s="33"/>
      <c r="AN87" s="33"/>
      <c r="AO87" s="33">
        <v>50</v>
      </c>
      <c r="AP87" s="33">
        <v>1047.9000000000001</v>
      </c>
      <c r="AQ87" s="33">
        <v>52395.000000000007</v>
      </c>
      <c r="AR87" s="33"/>
      <c r="AS87" s="33">
        <v>0</v>
      </c>
      <c r="AT87" s="33">
        <v>0</v>
      </c>
      <c r="AU87" s="33"/>
      <c r="AV87" s="33">
        <v>0</v>
      </c>
      <c r="AW87" s="33">
        <v>0</v>
      </c>
      <c r="AX87" s="33"/>
      <c r="AY87" s="33">
        <v>0</v>
      </c>
      <c r="AZ87" s="33">
        <v>0</v>
      </c>
      <c r="BA87" s="33"/>
      <c r="BB87" s="33">
        <v>0</v>
      </c>
      <c r="BC87" s="33">
        <v>0</v>
      </c>
      <c r="BD87" s="33">
        <v>50</v>
      </c>
      <c r="BE87" s="33">
        <v>1047.9000000000001</v>
      </c>
      <c r="BF87" s="33">
        <v>52395.000000000007</v>
      </c>
      <c r="BG87" s="33"/>
      <c r="BH87" s="33"/>
      <c r="BI87" s="33">
        <v>0</v>
      </c>
      <c r="BJ87" s="33"/>
      <c r="BK87" s="33">
        <v>0</v>
      </c>
      <c r="BL87" s="33">
        <v>0</v>
      </c>
      <c r="BM87" s="33"/>
      <c r="BN87" s="33">
        <v>0</v>
      </c>
      <c r="BO87" s="33">
        <v>0</v>
      </c>
      <c r="BP87" s="33"/>
      <c r="BQ87" s="33"/>
      <c r="BR87" s="33"/>
      <c r="BT87" s="65">
        <f t="shared" si="53"/>
        <v>203</v>
      </c>
      <c r="BU87" s="33">
        <f t="shared" si="172"/>
        <v>1047.8995073891626</v>
      </c>
      <c r="BV87" s="65">
        <f t="shared" si="137"/>
        <v>212723.6</v>
      </c>
      <c r="BW87" s="33">
        <v>61</v>
      </c>
      <c r="BX87" s="33">
        <v>1048</v>
      </c>
      <c r="BY87" s="33">
        <v>63922</v>
      </c>
      <c r="BZ87" s="33">
        <v>28</v>
      </c>
      <c r="CA87" s="33">
        <v>1048</v>
      </c>
      <c r="CB87" s="33">
        <v>29341</v>
      </c>
      <c r="CC87" s="33">
        <v>24</v>
      </c>
      <c r="CD87" s="33">
        <v>1047.9000000000001</v>
      </c>
      <c r="CE87" s="33">
        <v>25150</v>
      </c>
      <c r="CF87" s="33">
        <v>12</v>
      </c>
      <c r="CG87" s="33">
        <v>1048</v>
      </c>
      <c r="CH87" s="33">
        <v>12575</v>
      </c>
      <c r="CI87" s="33">
        <v>7</v>
      </c>
      <c r="CJ87" s="33">
        <v>1048</v>
      </c>
      <c r="CK87" s="33">
        <v>7335</v>
      </c>
      <c r="CL87" s="33">
        <v>5</v>
      </c>
      <c r="CM87" s="33">
        <v>1048</v>
      </c>
      <c r="CN87" s="33">
        <v>5240</v>
      </c>
      <c r="CO87" s="33">
        <v>16</v>
      </c>
      <c r="CP87" s="33">
        <v>1048</v>
      </c>
      <c r="CQ87" s="33">
        <v>16766</v>
      </c>
      <c r="CR87" s="33">
        <v>6</v>
      </c>
      <c r="CS87" s="33">
        <v>1048</v>
      </c>
      <c r="CT87" s="33">
        <v>6287</v>
      </c>
      <c r="CU87" s="33">
        <v>26</v>
      </c>
      <c r="CV87" s="33">
        <v>1047.9000000000001</v>
      </c>
      <c r="CW87" s="33">
        <v>27245.4</v>
      </c>
      <c r="CX87" s="34">
        <v>18</v>
      </c>
      <c r="CY87" s="35">
        <v>1047.9000000000001</v>
      </c>
      <c r="CZ87" s="33">
        <v>18862.2</v>
      </c>
      <c r="DA87" s="34"/>
      <c r="DB87" s="33">
        <v>0</v>
      </c>
      <c r="DC87" s="33">
        <v>0</v>
      </c>
      <c r="DD87" s="33"/>
      <c r="DE87" s="33"/>
      <c r="DF87" s="66"/>
    </row>
    <row r="88" spans="1:110" s="25" customFormat="1" ht="24.95" customHeight="1">
      <c r="A88" s="46" t="s">
        <v>29</v>
      </c>
      <c r="B88" s="47"/>
      <c r="C88" s="78"/>
      <c r="D88" s="79"/>
      <c r="E88" s="80"/>
      <c r="F88" s="51"/>
      <c r="G88" s="81">
        <f>SUM(G89:G92)</f>
        <v>173</v>
      </c>
      <c r="H88" s="53"/>
      <c r="I88" s="81">
        <f>SUM(I89:I92)</f>
        <v>894757.49994243146</v>
      </c>
      <c r="J88" s="81">
        <f>SUM(J89:J92)</f>
        <v>190</v>
      </c>
      <c r="K88" s="53"/>
      <c r="L88" s="81">
        <f>SUM(L89:L92)</f>
        <v>857587.5</v>
      </c>
      <c r="M88" s="81">
        <f>SUM(M89:M92)</f>
        <v>203</v>
      </c>
      <c r="N88" s="53"/>
      <c r="O88" s="81">
        <f>SUM(O89:O92)</f>
        <v>1001463.7499698451</v>
      </c>
      <c r="P88" s="81">
        <f>SUM(P89:P92)</f>
        <v>160</v>
      </c>
      <c r="Q88" s="54"/>
      <c r="R88" s="81">
        <f>SUM(R89:R92)</f>
        <v>750881.2499725864</v>
      </c>
      <c r="S88" s="56"/>
      <c r="T88" s="55">
        <v>1640</v>
      </c>
      <c r="U88" s="55">
        <v>5236.5868902439024</v>
      </c>
      <c r="V88" s="55">
        <v>8588002.5</v>
      </c>
      <c r="W88" s="55">
        <v>1542</v>
      </c>
      <c r="X88" s="55">
        <v>5323.4894164065963</v>
      </c>
      <c r="Y88" s="55">
        <v>8208820.6800989714</v>
      </c>
      <c r="Z88" s="81">
        <f>SUM(Z89:Z92)</f>
        <v>190</v>
      </c>
      <c r="AA88" s="53"/>
      <c r="AB88" s="81">
        <f>SUM(AB89:AB92)</f>
        <v>857587.49970369157</v>
      </c>
      <c r="AC88" s="81">
        <f>SUM(AC89:AC92)</f>
        <v>62</v>
      </c>
      <c r="AD88" s="54"/>
      <c r="AE88" s="81">
        <f>SUM(AE89:AE92)</f>
        <v>371699.43041789206</v>
      </c>
      <c r="AF88" s="81">
        <f>SUM(AF89:AF92)</f>
        <v>1640</v>
      </c>
      <c r="AG88" s="52">
        <f>IFERROR(AH88/AF88,0)</f>
        <v>5236.5868902439024</v>
      </c>
      <c r="AH88" s="81">
        <f>SUM(AH89:AH92)</f>
        <v>8588002.5</v>
      </c>
      <c r="AI88" s="81"/>
      <c r="AJ88" s="81"/>
      <c r="AK88" s="81">
        <f t="shared" ref="AK88:BR88" si="176">SUM(AK89:AK92)</f>
        <v>1233540</v>
      </c>
      <c r="AL88" s="81"/>
      <c r="AM88" s="81"/>
      <c r="AN88" s="81">
        <f t="shared" si="176"/>
        <v>0</v>
      </c>
      <c r="AO88" s="81"/>
      <c r="AP88" s="81"/>
      <c r="AQ88" s="81">
        <f t="shared" si="176"/>
        <v>1082812.5</v>
      </c>
      <c r="AR88" s="81"/>
      <c r="AS88" s="81"/>
      <c r="AT88" s="81">
        <f t="shared" si="176"/>
        <v>847350</v>
      </c>
      <c r="AU88" s="81"/>
      <c r="AV88" s="81"/>
      <c r="AW88" s="81">
        <f t="shared" si="176"/>
        <v>532350</v>
      </c>
      <c r="AX88" s="81"/>
      <c r="AY88" s="81"/>
      <c r="AZ88" s="81">
        <f t="shared" si="176"/>
        <v>611100</v>
      </c>
      <c r="BA88" s="81"/>
      <c r="BB88" s="81"/>
      <c r="BC88" s="81">
        <f t="shared" si="176"/>
        <v>611100</v>
      </c>
      <c r="BD88" s="81"/>
      <c r="BE88" s="81"/>
      <c r="BF88" s="81">
        <f t="shared" si="176"/>
        <v>611100</v>
      </c>
      <c r="BG88" s="81">
        <v>180</v>
      </c>
      <c r="BH88" s="81"/>
      <c r="BI88" s="81">
        <v>925312.5</v>
      </c>
      <c r="BJ88" s="81"/>
      <c r="BK88" s="81"/>
      <c r="BL88" s="81">
        <f t="shared" si="176"/>
        <v>1275750</v>
      </c>
      <c r="BM88" s="81"/>
      <c r="BN88" s="81"/>
      <c r="BO88" s="81">
        <f t="shared" si="176"/>
        <v>857587.5</v>
      </c>
      <c r="BP88" s="81"/>
      <c r="BQ88" s="81"/>
      <c r="BR88" s="81">
        <f t="shared" si="176"/>
        <v>0</v>
      </c>
      <c r="BT88" s="81">
        <f>SUM(BT89:BT92)</f>
        <v>1542</v>
      </c>
      <c r="BU88" s="52">
        <f>IFERROR(BV88/BT88,0)</f>
        <v>5323.4894164065963</v>
      </c>
      <c r="BV88" s="81">
        <f>SUM(BV89:BV92)</f>
        <v>8208820.6800989714</v>
      </c>
      <c r="BW88" s="53"/>
      <c r="BX88" s="53"/>
      <c r="BY88" s="81">
        <f>SUM(BY89:BY92)</f>
        <v>760866.56488581491</v>
      </c>
      <c r="BZ88" s="53"/>
      <c r="CA88" s="53"/>
      <c r="CB88" s="81">
        <f>SUM(CB89:CB92)</f>
        <v>634897.99724793958</v>
      </c>
      <c r="CC88" s="53"/>
      <c r="CD88" s="53"/>
      <c r="CE88" s="81">
        <f t="shared" ref="CE88" si="177">SUM(CE89:CE92)</f>
        <v>601177.43462278368</v>
      </c>
      <c r="CF88" s="53"/>
      <c r="CG88" s="53"/>
      <c r="CH88" s="81">
        <f t="shared" ref="CH88" si="178">SUM(CH89:CH92)</f>
        <v>793091.20651752618</v>
      </c>
      <c r="CI88" s="53"/>
      <c r="CJ88" s="53"/>
      <c r="CK88" s="81">
        <f t="shared" ref="CK88" si="179">SUM(CK89:CK92)</f>
        <v>862469.98417649616</v>
      </c>
      <c r="CL88" s="53"/>
      <c r="CM88" s="53"/>
      <c r="CN88" s="81">
        <f t="shared" ref="CN88" si="180">SUM(CN89:CN92)</f>
        <v>702922.49486074236</v>
      </c>
      <c r="CO88" s="53"/>
      <c r="CP88" s="53"/>
      <c r="CQ88" s="81">
        <f>SUM(CQ89:CQ92)</f>
        <v>741588.74863994448</v>
      </c>
      <c r="CR88" s="53"/>
      <c r="CS88" s="53"/>
      <c r="CT88" s="81">
        <f t="shared" ref="CT88" si="181">SUM(CT89:CT92)</f>
        <v>499904.99973332242</v>
      </c>
      <c r="CU88" s="53">
        <v>137</v>
      </c>
      <c r="CV88" s="53"/>
      <c r="CW88" s="81">
        <v>708828.74985184579</v>
      </c>
      <c r="CX88" s="81">
        <f>SUM(CX89:CX92)</f>
        <v>179</v>
      </c>
      <c r="CY88" s="53"/>
      <c r="CZ88" s="81">
        <f t="shared" ref="CZ88" si="182">SUM(CZ89:CZ92)</f>
        <v>901608.74959271064</v>
      </c>
      <c r="DA88" s="53"/>
      <c r="DB88" s="53"/>
      <c r="DC88" s="81">
        <f t="shared" ref="DC88" si="183">SUM(DC89:DC92)</f>
        <v>1001463.7499698451</v>
      </c>
      <c r="DD88" s="53"/>
      <c r="DE88" s="53"/>
      <c r="DF88" s="82">
        <f t="shared" ref="DF88" si="184">SUM(DF89:DF92)</f>
        <v>0</v>
      </c>
    </row>
    <row r="89" spans="1:110" ht="24.95" customHeight="1">
      <c r="A89" s="58">
        <v>68</v>
      </c>
      <c r="B89" s="88" t="s">
        <v>194</v>
      </c>
      <c r="C89" s="70" t="s">
        <v>188</v>
      </c>
      <c r="D89" s="75" t="s">
        <v>189</v>
      </c>
      <c r="E89" s="70" t="s">
        <v>195</v>
      </c>
      <c r="F89" s="60" t="s">
        <v>196</v>
      </c>
      <c r="G89" s="64">
        <v>32</v>
      </c>
      <c r="H89" s="76">
        <v>6063.75</v>
      </c>
      <c r="I89" s="76">
        <v>194040</v>
      </c>
      <c r="J89" s="33">
        <v>20</v>
      </c>
      <c r="K89" s="33">
        <v>6063.75</v>
      </c>
      <c r="L89" s="33">
        <f t="shared" si="108"/>
        <v>121275</v>
      </c>
      <c r="M89" s="34">
        <v>37</v>
      </c>
      <c r="N89" s="33">
        <f>IFERROR((G89*H89+J89*K89)/(G89+J89),0)</f>
        <v>6063.75</v>
      </c>
      <c r="O89" s="33">
        <f t="shared" ref="O89:O92" si="185">M89*N89</f>
        <v>224358.75</v>
      </c>
      <c r="P89" s="137">
        <f>G89+J89-M89</f>
        <v>15</v>
      </c>
      <c r="Q89" s="34">
        <f>N89</f>
        <v>6063.75</v>
      </c>
      <c r="R89" s="33">
        <f>P89*Q89</f>
        <v>90956.25</v>
      </c>
      <c r="S89" s="36">
        <v>46942</v>
      </c>
      <c r="T89" s="34">
        <v>380</v>
      </c>
      <c r="U89" s="34">
        <v>6063.75</v>
      </c>
      <c r="V89" s="34">
        <v>2304225</v>
      </c>
      <c r="W89" s="34">
        <v>385</v>
      </c>
      <c r="X89" s="34">
        <v>6063.75</v>
      </c>
      <c r="Y89" s="34">
        <v>2334543.75</v>
      </c>
      <c r="Z89" s="34">
        <v>20</v>
      </c>
      <c r="AA89" s="33">
        <v>6063.75</v>
      </c>
      <c r="AB89" s="34">
        <f t="shared" ref="AB89:AB92" si="186">Z89*AA89</f>
        <v>121275</v>
      </c>
      <c r="AC89" s="33">
        <v>20</v>
      </c>
      <c r="AD89" s="33">
        <v>6063.75</v>
      </c>
      <c r="AE89" s="33">
        <v>121275</v>
      </c>
      <c r="AF89" s="65">
        <f t="shared" ref="AF89:AF92" si="187">SUMIF($AI$6:$BR$6,$AF$6,AI89:BR89)</f>
        <v>380</v>
      </c>
      <c r="AG89" s="33">
        <f t="shared" ref="AG89:AG92" si="188">IFERROR(AH89/AF89,0)</f>
        <v>6063.75</v>
      </c>
      <c r="AH89" s="65">
        <f t="shared" si="52"/>
        <v>2304225</v>
      </c>
      <c r="AI89" s="33">
        <v>60</v>
      </c>
      <c r="AJ89" s="33">
        <v>6063.75</v>
      </c>
      <c r="AK89" s="33">
        <v>363825</v>
      </c>
      <c r="AL89" s="33"/>
      <c r="AM89" s="33"/>
      <c r="AN89" s="33"/>
      <c r="AO89" s="33">
        <v>50</v>
      </c>
      <c r="AP89" s="33">
        <v>6063.75</v>
      </c>
      <c r="AQ89" s="33">
        <v>303187.5</v>
      </c>
      <c r="AR89" s="33">
        <v>30</v>
      </c>
      <c r="AS89" s="33">
        <v>6063.75</v>
      </c>
      <c r="AT89" s="33">
        <v>181912.5</v>
      </c>
      <c r="AU89" s="33">
        <v>30</v>
      </c>
      <c r="AV89" s="33">
        <v>6063.75</v>
      </c>
      <c r="AW89" s="33">
        <v>181912.5</v>
      </c>
      <c r="AX89" s="33">
        <v>30</v>
      </c>
      <c r="AY89" s="33">
        <v>6063.75</v>
      </c>
      <c r="AZ89" s="33">
        <v>181912.5</v>
      </c>
      <c r="BA89" s="33">
        <v>30</v>
      </c>
      <c r="BB89" s="33">
        <v>6063.75</v>
      </c>
      <c r="BC89" s="33">
        <v>181912.5</v>
      </c>
      <c r="BD89" s="33">
        <v>30</v>
      </c>
      <c r="BE89" s="33">
        <v>6063.75</v>
      </c>
      <c r="BF89" s="33">
        <v>181912.5</v>
      </c>
      <c r="BG89" s="33">
        <v>50</v>
      </c>
      <c r="BH89" s="33">
        <v>6063.75</v>
      </c>
      <c r="BI89" s="33">
        <v>303187.5</v>
      </c>
      <c r="BJ89" s="33">
        <v>50</v>
      </c>
      <c r="BK89" s="33">
        <v>6063.75</v>
      </c>
      <c r="BL89" s="33">
        <v>303187.5</v>
      </c>
      <c r="BM89" s="33">
        <v>20</v>
      </c>
      <c r="BN89" s="33">
        <v>6063.75</v>
      </c>
      <c r="BO89" s="33">
        <v>121275</v>
      </c>
      <c r="BP89" s="33"/>
      <c r="BQ89" s="33"/>
      <c r="BR89" s="33"/>
      <c r="BT89" s="65">
        <f t="shared" si="53"/>
        <v>385</v>
      </c>
      <c r="BU89" s="33">
        <f t="shared" ref="BU89:BU92" si="189">IFERROR(BV89/BT89,0)</f>
        <v>6063.75</v>
      </c>
      <c r="BV89" s="65">
        <f t="shared" si="137"/>
        <v>2334543.75</v>
      </c>
      <c r="BW89" s="33">
        <v>37</v>
      </c>
      <c r="BX89" s="33">
        <v>6063.75</v>
      </c>
      <c r="BY89" s="33">
        <v>224358.75</v>
      </c>
      <c r="BZ89" s="33">
        <v>32</v>
      </c>
      <c r="CA89" s="33">
        <v>6063.75</v>
      </c>
      <c r="CB89" s="33">
        <v>194040</v>
      </c>
      <c r="CC89" s="33">
        <v>26</v>
      </c>
      <c r="CD89" s="33">
        <v>6063.75</v>
      </c>
      <c r="CE89" s="33">
        <v>157657.5</v>
      </c>
      <c r="CF89" s="33">
        <v>37</v>
      </c>
      <c r="CG89" s="33">
        <v>6063.75</v>
      </c>
      <c r="CH89" s="33">
        <v>224358.75</v>
      </c>
      <c r="CI89" s="33">
        <v>45</v>
      </c>
      <c r="CJ89" s="33">
        <v>6063.75</v>
      </c>
      <c r="CK89" s="33">
        <v>272868.75</v>
      </c>
      <c r="CL89" s="33">
        <v>29</v>
      </c>
      <c r="CM89" s="33">
        <v>6063.75</v>
      </c>
      <c r="CN89" s="33">
        <v>175848.75</v>
      </c>
      <c r="CO89" s="33">
        <v>34</v>
      </c>
      <c r="CP89" s="33">
        <v>6063.75</v>
      </c>
      <c r="CQ89" s="33">
        <v>206167.5</v>
      </c>
      <c r="CR89" s="33">
        <v>29</v>
      </c>
      <c r="CS89" s="33">
        <v>6063.75</v>
      </c>
      <c r="CT89" s="33">
        <v>175848.75</v>
      </c>
      <c r="CU89" s="33">
        <v>38</v>
      </c>
      <c r="CV89" s="33">
        <v>6063.75</v>
      </c>
      <c r="CW89" s="33">
        <v>230422.5</v>
      </c>
      <c r="CX89" s="34">
        <v>41</v>
      </c>
      <c r="CY89" s="35">
        <f>IFERROR((CR89*CS89+CU89*CV89)/(CR89+CU89),0)</f>
        <v>6063.75</v>
      </c>
      <c r="CZ89" s="33">
        <f t="shared" ref="CZ89:CZ92" si="190">CX89*CY89</f>
        <v>248613.75</v>
      </c>
      <c r="DA89" s="34">
        <v>37</v>
      </c>
      <c r="DB89" s="33">
        <v>6063.75</v>
      </c>
      <c r="DC89" s="33">
        <v>224358.75</v>
      </c>
      <c r="DD89" s="33"/>
      <c r="DE89" s="33"/>
      <c r="DF89" s="66"/>
    </row>
    <row r="90" spans="1:110" ht="24.95" customHeight="1">
      <c r="A90" s="58">
        <v>69</v>
      </c>
      <c r="B90" s="88" t="s">
        <v>193</v>
      </c>
      <c r="C90" s="70" t="s">
        <v>188</v>
      </c>
      <c r="D90" s="75" t="s">
        <v>189</v>
      </c>
      <c r="E90" s="70" t="s">
        <v>195</v>
      </c>
      <c r="F90" s="60" t="s">
        <v>196</v>
      </c>
      <c r="G90" s="64">
        <v>39</v>
      </c>
      <c r="H90" s="76">
        <v>7875</v>
      </c>
      <c r="I90" s="76">
        <v>307125</v>
      </c>
      <c r="J90" s="33">
        <v>20</v>
      </c>
      <c r="K90" s="33">
        <v>7875</v>
      </c>
      <c r="L90" s="33">
        <f t="shared" si="108"/>
        <v>157500</v>
      </c>
      <c r="M90" s="34">
        <v>34</v>
      </c>
      <c r="N90" s="33">
        <f>IFERROR((G90*H90+J90*K90)/(G90+J90),0)</f>
        <v>7875</v>
      </c>
      <c r="O90" s="33">
        <f t="shared" si="185"/>
        <v>267750</v>
      </c>
      <c r="P90" s="137">
        <f t="shared" ref="P90:P92" si="191">G90+J90-M90</f>
        <v>25</v>
      </c>
      <c r="Q90" s="34">
        <f t="shared" ref="Q90:Q92" si="192">N90</f>
        <v>7875</v>
      </c>
      <c r="R90" s="33">
        <f t="shared" ref="R90:R92" si="193">P90*Q90</f>
        <v>196875</v>
      </c>
      <c r="S90" s="36">
        <v>46990</v>
      </c>
      <c r="T90" s="34">
        <v>340</v>
      </c>
      <c r="U90" s="34">
        <v>7875</v>
      </c>
      <c r="V90" s="34">
        <v>2677500</v>
      </c>
      <c r="W90" s="34">
        <v>337</v>
      </c>
      <c r="X90" s="34">
        <v>7875</v>
      </c>
      <c r="Y90" s="34">
        <v>2653875</v>
      </c>
      <c r="Z90" s="34">
        <v>20</v>
      </c>
      <c r="AA90" s="33">
        <v>7875</v>
      </c>
      <c r="AB90" s="34">
        <f t="shared" si="186"/>
        <v>157500</v>
      </c>
      <c r="AC90" s="33">
        <v>22</v>
      </c>
      <c r="AD90" s="33">
        <v>7875</v>
      </c>
      <c r="AE90" s="33">
        <v>173250</v>
      </c>
      <c r="AF90" s="65">
        <f t="shared" si="187"/>
        <v>340</v>
      </c>
      <c r="AG90" s="33">
        <f t="shared" si="188"/>
        <v>7875</v>
      </c>
      <c r="AH90" s="65">
        <f t="shared" si="52"/>
        <v>2677500</v>
      </c>
      <c r="AI90" s="33">
        <v>20</v>
      </c>
      <c r="AJ90" s="33">
        <v>7875</v>
      </c>
      <c r="AK90" s="33">
        <v>157500</v>
      </c>
      <c r="AL90" s="33"/>
      <c r="AM90" s="33"/>
      <c r="AN90" s="33"/>
      <c r="AO90" s="33">
        <v>50</v>
      </c>
      <c r="AP90" s="33">
        <v>7875</v>
      </c>
      <c r="AQ90" s="33">
        <v>393750</v>
      </c>
      <c r="AR90" s="33">
        <v>60</v>
      </c>
      <c r="AS90" s="33">
        <v>7875</v>
      </c>
      <c r="AT90" s="33">
        <v>472500</v>
      </c>
      <c r="AU90" s="33">
        <v>20</v>
      </c>
      <c r="AV90" s="33">
        <v>7875</v>
      </c>
      <c r="AW90" s="33">
        <v>157500</v>
      </c>
      <c r="AX90" s="33">
        <v>30</v>
      </c>
      <c r="AY90" s="33">
        <v>7875</v>
      </c>
      <c r="AZ90" s="33">
        <v>236250</v>
      </c>
      <c r="BA90" s="33">
        <v>30</v>
      </c>
      <c r="BB90" s="33">
        <v>7875</v>
      </c>
      <c r="BC90" s="33">
        <v>236250</v>
      </c>
      <c r="BD90" s="33">
        <v>30</v>
      </c>
      <c r="BE90" s="33">
        <v>7875</v>
      </c>
      <c r="BF90" s="33">
        <v>236250</v>
      </c>
      <c r="BG90" s="33">
        <v>30</v>
      </c>
      <c r="BH90" s="33">
        <v>7875</v>
      </c>
      <c r="BI90" s="33">
        <v>236250</v>
      </c>
      <c r="BJ90" s="33">
        <v>50</v>
      </c>
      <c r="BK90" s="33">
        <v>7875</v>
      </c>
      <c r="BL90" s="33">
        <v>393750</v>
      </c>
      <c r="BM90" s="33">
        <v>20</v>
      </c>
      <c r="BN90" s="33">
        <v>7875</v>
      </c>
      <c r="BO90" s="33">
        <v>157500</v>
      </c>
      <c r="BP90" s="33"/>
      <c r="BQ90" s="33"/>
      <c r="BR90" s="33"/>
      <c r="BT90" s="65">
        <f t="shared" ref="BT90:BT92" si="194">SUMIF($BW$6:$DF$6,$BT$6,BW90:DF90)</f>
        <v>337</v>
      </c>
      <c r="BU90" s="33">
        <f t="shared" si="189"/>
        <v>7875</v>
      </c>
      <c r="BV90" s="65">
        <f t="shared" si="137"/>
        <v>2653875</v>
      </c>
      <c r="BW90" s="33">
        <v>31</v>
      </c>
      <c r="BX90" s="33">
        <v>7875</v>
      </c>
      <c r="BY90" s="33">
        <v>244125</v>
      </c>
      <c r="BZ90" s="33">
        <v>11</v>
      </c>
      <c r="CA90" s="33">
        <v>7875</v>
      </c>
      <c r="CB90" s="33">
        <v>86625</v>
      </c>
      <c r="CC90" s="33">
        <v>23</v>
      </c>
      <c r="CD90" s="33">
        <v>7875</v>
      </c>
      <c r="CE90" s="33">
        <v>181125</v>
      </c>
      <c r="CF90" s="33">
        <v>34</v>
      </c>
      <c r="CG90" s="33">
        <v>7875</v>
      </c>
      <c r="CH90" s="33">
        <v>267750</v>
      </c>
      <c r="CI90" s="33">
        <v>44</v>
      </c>
      <c r="CJ90" s="33">
        <v>7875</v>
      </c>
      <c r="CK90" s="33">
        <v>346500</v>
      </c>
      <c r="CL90" s="33">
        <v>39</v>
      </c>
      <c r="CM90" s="33">
        <v>7875</v>
      </c>
      <c r="CN90" s="33">
        <v>307125</v>
      </c>
      <c r="CO90" s="33">
        <v>43</v>
      </c>
      <c r="CP90" s="33">
        <v>7875</v>
      </c>
      <c r="CQ90" s="33">
        <v>338625</v>
      </c>
      <c r="CR90" s="33">
        <v>24</v>
      </c>
      <c r="CS90" s="33">
        <v>7875</v>
      </c>
      <c r="CT90" s="33">
        <v>189000</v>
      </c>
      <c r="CU90" s="33">
        <v>24</v>
      </c>
      <c r="CV90" s="33">
        <v>7875</v>
      </c>
      <c r="CW90" s="33">
        <v>189000</v>
      </c>
      <c r="CX90" s="34">
        <v>30</v>
      </c>
      <c r="CY90" s="35">
        <f>IFERROR((CR90*CS90+CU90*CV90)/(CR90+CU90),0)</f>
        <v>7875</v>
      </c>
      <c r="CZ90" s="33">
        <f t="shared" si="190"/>
        <v>236250</v>
      </c>
      <c r="DA90" s="34">
        <v>34</v>
      </c>
      <c r="DB90" s="33">
        <v>7875</v>
      </c>
      <c r="DC90" s="33">
        <v>267750</v>
      </c>
      <c r="DD90" s="33"/>
      <c r="DE90" s="33"/>
      <c r="DF90" s="66"/>
    </row>
    <row r="91" spans="1:110" ht="24.95" customHeight="1">
      <c r="A91" s="58">
        <v>70</v>
      </c>
      <c r="B91" s="88" t="s">
        <v>191</v>
      </c>
      <c r="C91" s="70" t="s">
        <v>188</v>
      </c>
      <c r="D91" s="75" t="s">
        <v>190</v>
      </c>
      <c r="E91" s="70" t="s">
        <v>165</v>
      </c>
      <c r="F91" s="60" t="s">
        <v>196</v>
      </c>
      <c r="G91" s="64">
        <v>102</v>
      </c>
      <c r="H91" s="76">
        <v>3858.7499994356031</v>
      </c>
      <c r="I91" s="76">
        <v>393592.49994243152</v>
      </c>
      <c r="J91" s="33">
        <v>150</v>
      </c>
      <c r="K91" s="33">
        <v>3858.75</v>
      </c>
      <c r="L91" s="33">
        <f t="shared" si="108"/>
        <v>578812.5</v>
      </c>
      <c r="M91" s="34">
        <v>132</v>
      </c>
      <c r="N91" s="33">
        <f>IFERROR((G91*H91+J91*K91)/(G91+J91),0)</f>
        <v>3858.7499997715536</v>
      </c>
      <c r="O91" s="33">
        <f t="shared" si="185"/>
        <v>509354.99996984506</v>
      </c>
      <c r="P91" s="137">
        <f t="shared" si="191"/>
        <v>120</v>
      </c>
      <c r="Q91" s="34">
        <f t="shared" si="192"/>
        <v>3858.7499997715536</v>
      </c>
      <c r="R91" s="33">
        <f t="shared" si="193"/>
        <v>463049.9999725864</v>
      </c>
      <c r="S91" s="36">
        <v>46728</v>
      </c>
      <c r="T91" s="34">
        <v>890</v>
      </c>
      <c r="U91" s="34">
        <v>3858.75</v>
      </c>
      <c r="V91" s="34">
        <v>3434287.5</v>
      </c>
      <c r="W91" s="34">
        <v>790</v>
      </c>
      <c r="X91" s="34">
        <v>3858.7492786062935</v>
      </c>
      <c r="Y91" s="34">
        <v>3048411.9300989718</v>
      </c>
      <c r="Z91" s="34">
        <v>150</v>
      </c>
      <c r="AA91" s="33">
        <v>3858.7499980246107</v>
      </c>
      <c r="AB91" s="34">
        <f t="shared" si="186"/>
        <v>578812.49970369157</v>
      </c>
      <c r="AC91" s="33">
        <v>20</v>
      </c>
      <c r="AD91" s="33">
        <v>3858.7215208946031</v>
      </c>
      <c r="AE91" s="33">
        <v>77174.430417892057</v>
      </c>
      <c r="AF91" s="65">
        <f t="shared" si="187"/>
        <v>890</v>
      </c>
      <c r="AG91" s="33">
        <f t="shared" si="188"/>
        <v>3858.75</v>
      </c>
      <c r="AH91" s="65">
        <f t="shared" si="52"/>
        <v>3434287.5</v>
      </c>
      <c r="AI91" s="33">
        <v>140</v>
      </c>
      <c r="AJ91" s="33">
        <v>3858.75</v>
      </c>
      <c r="AK91" s="33">
        <v>540225</v>
      </c>
      <c r="AL91" s="33"/>
      <c r="AM91" s="33"/>
      <c r="AN91" s="33"/>
      <c r="AO91" s="33">
        <v>100</v>
      </c>
      <c r="AP91" s="33">
        <v>3858.75</v>
      </c>
      <c r="AQ91" s="33">
        <v>385875</v>
      </c>
      <c r="AR91" s="33">
        <v>50</v>
      </c>
      <c r="AS91" s="33">
        <v>3858.75</v>
      </c>
      <c r="AT91" s="33">
        <v>192937.5</v>
      </c>
      <c r="AU91" s="33">
        <v>50</v>
      </c>
      <c r="AV91" s="33">
        <v>3858.75</v>
      </c>
      <c r="AW91" s="33">
        <v>192937.5</v>
      </c>
      <c r="AX91" s="33">
        <v>50</v>
      </c>
      <c r="AY91" s="33">
        <v>3858.75</v>
      </c>
      <c r="AZ91" s="33">
        <v>192937.5</v>
      </c>
      <c r="BA91" s="33">
        <v>50</v>
      </c>
      <c r="BB91" s="33">
        <v>3858.75</v>
      </c>
      <c r="BC91" s="33">
        <v>192937.5</v>
      </c>
      <c r="BD91" s="33">
        <v>50</v>
      </c>
      <c r="BE91" s="33">
        <v>3858.75</v>
      </c>
      <c r="BF91" s="33">
        <v>192937.5</v>
      </c>
      <c r="BG91" s="33">
        <v>100</v>
      </c>
      <c r="BH91" s="33">
        <v>3858.75</v>
      </c>
      <c r="BI91" s="33">
        <v>385875</v>
      </c>
      <c r="BJ91" s="33">
        <v>150</v>
      </c>
      <c r="BK91" s="33">
        <v>3858.75</v>
      </c>
      <c r="BL91" s="33">
        <v>578812.5</v>
      </c>
      <c r="BM91" s="33">
        <v>150</v>
      </c>
      <c r="BN91" s="33">
        <v>3858.75</v>
      </c>
      <c r="BO91" s="33">
        <v>578812.5</v>
      </c>
      <c r="BP91" s="33"/>
      <c r="BQ91" s="33"/>
      <c r="BR91" s="33"/>
      <c r="BT91" s="65">
        <f t="shared" si="194"/>
        <v>790</v>
      </c>
      <c r="BU91" s="33">
        <f t="shared" si="189"/>
        <v>3858.7492786062935</v>
      </c>
      <c r="BV91" s="65">
        <f t="shared" si="137"/>
        <v>3048411.9300989718</v>
      </c>
      <c r="BW91" s="33">
        <v>52</v>
      </c>
      <c r="BX91" s="33">
        <v>3858.7464401118255</v>
      </c>
      <c r="BY91" s="33">
        <v>200654.81488581494</v>
      </c>
      <c r="BZ91" s="33">
        <v>71</v>
      </c>
      <c r="CA91" s="33">
        <v>3858.7464401118255</v>
      </c>
      <c r="CB91" s="33">
        <v>273970.99724793958</v>
      </c>
      <c r="CC91" s="33">
        <v>68</v>
      </c>
      <c r="CD91" s="33">
        <v>3858.7490385703472</v>
      </c>
      <c r="CE91" s="33">
        <v>262394.93462278362</v>
      </c>
      <c r="CF91" s="33">
        <v>78</v>
      </c>
      <c r="CG91" s="33">
        <v>3858.7494425323862</v>
      </c>
      <c r="CH91" s="33">
        <v>300982.45651752612</v>
      </c>
      <c r="CI91" s="33">
        <v>63</v>
      </c>
      <c r="CJ91" s="33">
        <v>3858.7497488332729</v>
      </c>
      <c r="CK91" s="33">
        <v>243101.23417649619</v>
      </c>
      <c r="CL91" s="33">
        <v>57</v>
      </c>
      <c r="CM91" s="33">
        <v>3858.7499098375856</v>
      </c>
      <c r="CN91" s="33">
        <v>219948.74486074239</v>
      </c>
      <c r="CO91" s="33">
        <v>51</v>
      </c>
      <c r="CP91" s="33">
        <v>3858.7499733322438</v>
      </c>
      <c r="CQ91" s="33">
        <v>196796.24863994445</v>
      </c>
      <c r="CR91" s="33">
        <v>35</v>
      </c>
      <c r="CS91" s="33">
        <v>3858.7499923806413</v>
      </c>
      <c r="CT91" s="33">
        <v>135056.24973332245</v>
      </c>
      <c r="CU91" s="33">
        <v>75</v>
      </c>
      <c r="CV91" s="33">
        <v>3858.7499980246107</v>
      </c>
      <c r="CW91" s="33">
        <v>289406.24985184579</v>
      </c>
      <c r="CX91" s="34">
        <v>108</v>
      </c>
      <c r="CY91" s="35">
        <f>IFERROR((CR91*CS91+CU91*CV91)/(CR91+CU91),0)</f>
        <v>3858.749996228802</v>
      </c>
      <c r="CZ91" s="33">
        <f t="shared" si="190"/>
        <v>416744.99959271064</v>
      </c>
      <c r="DA91" s="34">
        <v>132</v>
      </c>
      <c r="DB91" s="33">
        <v>3858.7499997715536</v>
      </c>
      <c r="DC91" s="33">
        <v>509354.99996984506</v>
      </c>
      <c r="DD91" s="33"/>
      <c r="DE91" s="33"/>
      <c r="DF91" s="66"/>
    </row>
    <row r="92" spans="1:110" ht="24.95" customHeight="1">
      <c r="A92" s="58">
        <v>71</v>
      </c>
      <c r="B92" s="88" t="s">
        <v>192</v>
      </c>
      <c r="C92" s="70" t="s">
        <v>188</v>
      </c>
      <c r="D92" s="75" t="s">
        <v>189</v>
      </c>
      <c r="E92" s="70" t="s">
        <v>195</v>
      </c>
      <c r="F92" s="60" t="s">
        <v>196</v>
      </c>
      <c r="G92" s="64">
        <v>0</v>
      </c>
      <c r="H92" s="76">
        <v>0</v>
      </c>
      <c r="I92" s="76">
        <v>0</v>
      </c>
      <c r="J92" s="33"/>
      <c r="K92" s="33">
        <v>0</v>
      </c>
      <c r="L92" s="33">
        <f t="shared" si="108"/>
        <v>0</v>
      </c>
      <c r="M92" s="34"/>
      <c r="N92" s="33">
        <f>IFERROR((G92*H92+J92*K92)/(G92+J92),0)</f>
        <v>0</v>
      </c>
      <c r="O92" s="33">
        <f t="shared" si="185"/>
        <v>0</v>
      </c>
      <c r="P92" s="137">
        <f t="shared" si="191"/>
        <v>0</v>
      </c>
      <c r="Q92" s="34">
        <f t="shared" si="192"/>
        <v>0</v>
      </c>
      <c r="R92" s="33">
        <f t="shared" si="193"/>
        <v>0</v>
      </c>
      <c r="S92" s="36">
        <v>46330</v>
      </c>
      <c r="T92" s="34">
        <v>30</v>
      </c>
      <c r="U92" s="34">
        <v>5733</v>
      </c>
      <c r="V92" s="34">
        <v>171990</v>
      </c>
      <c r="W92" s="34">
        <v>30</v>
      </c>
      <c r="X92" s="34">
        <v>5733</v>
      </c>
      <c r="Y92" s="34">
        <v>171990</v>
      </c>
      <c r="Z92" s="34"/>
      <c r="AA92" s="33">
        <v>0</v>
      </c>
      <c r="AB92" s="34">
        <f t="shared" si="186"/>
        <v>0</v>
      </c>
      <c r="AC92" s="33"/>
      <c r="AD92" s="33"/>
      <c r="AE92" s="33"/>
      <c r="AF92" s="65">
        <f t="shared" si="187"/>
        <v>30</v>
      </c>
      <c r="AG92" s="33">
        <f t="shared" si="188"/>
        <v>5733</v>
      </c>
      <c r="AH92" s="65">
        <f t="shared" si="52"/>
        <v>171990</v>
      </c>
      <c r="AI92" s="33">
        <v>30</v>
      </c>
      <c r="AJ92" s="33">
        <v>5733</v>
      </c>
      <c r="AK92" s="33">
        <v>171990</v>
      </c>
      <c r="AL92" s="33"/>
      <c r="AM92" s="33"/>
      <c r="AN92" s="33"/>
      <c r="AO92" s="33"/>
      <c r="AP92" s="33"/>
      <c r="AQ92" s="33"/>
      <c r="AR92" s="33"/>
      <c r="AS92" s="33">
        <v>0</v>
      </c>
      <c r="AT92" s="33">
        <v>0</v>
      </c>
      <c r="AU92" s="33"/>
      <c r="AV92" s="33">
        <v>0</v>
      </c>
      <c r="AW92" s="33">
        <v>0</v>
      </c>
      <c r="AX92" s="33"/>
      <c r="AY92" s="33">
        <v>0</v>
      </c>
      <c r="AZ92" s="33">
        <v>0</v>
      </c>
      <c r="BA92" s="33"/>
      <c r="BB92" s="33">
        <v>0</v>
      </c>
      <c r="BC92" s="33">
        <v>0</v>
      </c>
      <c r="BD92" s="33"/>
      <c r="BE92" s="33"/>
      <c r="BF92" s="33">
        <v>0</v>
      </c>
      <c r="BG92" s="33"/>
      <c r="BH92" s="33"/>
      <c r="BI92" s="33">
        <v>0</v>
      </c>
      <c r="BJ92" s="33"/>
      <c r="BK92" s="33">
        <v>0</v>
      </c>
      <c r="BL92" s="33">
        <v>0</v>
      </c>
      <c r="BM92" s="33"/>
      <c r="BN92" s="33">
        <v>0</v>
      </c>
      <c r="BO92" s="33">
        <v>0</v>
      </c>
      <c r="BP92" s="33"/>
      <c r="BQ92" s="33"/>
      <c r="BR92" s="33"/>
      <c r="BT92" s="65">
        <f t="shared" si="194"/>
        <v>30</v>
      </c>
      <c r="BU92" s="33">
        <f t="shared" si="189"/>
        <v>5733</v>
      </c>
      <c r="BV92" s="65">
        <f t="shared" si="137"/>
        <v>171990</v>
      </c>
      <c r="BW92" s="33">
        <v>16</v>
      </c>
      <c r="BX92" s="33">
        <v>5733</v>
      </c>
      <c r="BY92" s="33">
        <v>91728</v>
      </c>
      <c r="BZ92" s="33">
        <v>14</v>
      </c>
      <c r="CA92" s="33">
        <v>5733</v>
      </c>
      <c r="CB92" s="33">
        <v>80262</v>
      </c>
      <c r="CC92" s="33"/>
      <c r="CD92" s="33">
        <v>0</v>
      </c>
      <c r="CE92" s="33">
        <v>0</v>
      </c>
      <c r="CF92" s="33"/>
      <c r="CG92" s="33">
        <v>0</v>
      </c>
      <c r="CH92" s="33">
        <v>0</v>
      </c>
      <c r="CI92" s="33"/>
      <c r="CJ92" s="33">
        <v>0</v>
      </c>
      <c r="CK92" s="33">
        <v>0</v>
      </c>
      <c r="CL92" s="33"/>
      <c r="CM92" s="33">
        <v>0</v>
      </c>
      <c r="CN92" s="33">
        <v>0</v>
      </c>
      <c r="CO92" s="33"/>
      <c r="CP92" s="33">
        <v>0</v>
      </c>
      <c r="CQ92" s="33">
        <v>0</v>
      </c>
      <c r="CR92" s="33"/>
      <c r="CS92" s="33">
        <v>0</v>
      </c>
      <c r="CT92" s="33">
        <v>0</v>
      </c>
      <c r="CU92" s="33"/>
      <c r="CV92" s="33">
        <v>0</v>
      </c>
      <c r="CW92" s="33">
        <v>0</v>
      </c>
      <c r="CX92" s="34"/>
      <c r="CY92" s="35">
        <f>IFERROR((CR92*CS92+CU92*CV92)/(CR92+CU92),0)</f>
        <v>0</v>
      </c>
      <c r="CZ92" s="33">
        <f t="shared" si="190"/>
        <v>0</v>
      </c>
      <c r="DA92" s="34"/>
      <c r="DB92" s="33">
        <v>0</v>
      </c>
      <c r="DC92" s="33">
        <v>0</v>
      </c>
      <c r="DD92" s="33"/>
      <c r="DE92" s="33"/>
      <c r="DF92" s="66"/>
    </row>
    <row r="93" spans="1:110" s="25" customFormat="1" ht="24.95" customHeight="1">
      <c r="A93" s="46" t="s">
        <v>30</v>
      </c>
      <c r="B93" s="47"/>
      <c r="C93" s="78"/>
      <c r="D93" s="79"/>
      <c r="E93" s="80"/>
      <c r="F93" s="51"/>
      <c r="G93" s="81">
        <f>SUM(G94:G99)</f>
        <v>805</v>
      </c>
      <c r="H93" s="53"/>
      <c r="I93" s="81">
        <f>SUM(I94:I99)</f>
        <v>2513232.7492456329</v>
      </c>
      <c r="J93" s="81">
        <f>SUM(J94:J99)</f>
        <v>1150</v>
      </c>
      <c r="K93" s="53"/>
      <c r="L93" s="81">
        <f>SUM(L94:L99)</f>
        <v>3290605.5</v>
      </c>
      <c r="M93" s="81">
        <f>SUM(M94:M99)</f>
        <v>1298</v>
      </c>
      <c r="N93" s="53"/>
      <c r="O93" s="81">
        <f>SUM(O94:O99)</f>
        <v>3891571.9495271132</v>
      </c>
      <c r="P93" s="81">
        <f>SUM(P94:P99)</f>
        <v>657</v>
      </c>
      <c r="Q93" s="54"/>
      <c r="R93" s="81">
        <f>SUM(R94:R99)</f>
        <v>1912266.2997185199</v>
      </c>
      <c r="S93" s="56"/>
      <c r="T93" s="55">
        <v>10730</v>
      </c>
      <c r="U93" s="55">
        <v>2701.4058480894687</v>
      </c>
      <c r="V93" s="55">
        <v>28986084.75</v>
      </c>
      <c r="W93" s="55">
        <v>10770</v>
      </c>
      <c r="X93" s="55">
        <v>2730.9095143701043</v>
      </c>
      <c r="Y93" s="55">
        <v>29411895.469766021</v>
      </c>
      <c r="Z93" s="81">
        <f>SUM(Z94:Z99)</f>
        <v>1130</v>
      </c>
      <c r="AA93" s="53"/>
      <c r="AB93" s="81">
        <f>SUM(AB94:AB99)</f>
        <v>2757163.4970577979</v>
      </c>
      <c r="AC93" s="81">
        <f>SUM(AC94:AC99)</f>
        <v>697</v>
      </c>
      <c r="AD93" s="54"/>
      <c r="AE93" s="81">
        <f>SUM(AE94:AE99)</f>
        <v>2338077.0233217166</v>
      </c>
      <c r="AF93" s="81">
        <f>SUM(AF94:AF99)</f>
        <v>10730</v>
      </c>
      <c r="AG93" s="52">
        <f>IFERROR(AH93/AF93,0)</f>
        <v>2701.4058480894687</v>
      </c>
      <c r="AH93" s="81">
        <f>SUM(AH94:AH99)</f>
        <v>28986084.75</v>
      </c>
      <c r="AI93" s="81"/>
      <c r="AJ93" s="81"/>
      <c r="AK93" s="81">
        <f t="shared" ref="AK93:BR93" si="195">SUM(AK94:AK99)</f>
        <v>4432475.25</v>
      </c>
      <c r="AL93" s="81"/>
      <c r="AM93" s="81"/>
      <c r="AN93" s="81">
        <f t="shared" si="195"/>
        <v>0</v>
      </c>
      <c r="AO93" s="81"/>
      <c r="AP93" s="81"/>
      <c r="AQ93" s="81">
        <f t="shared" si="195"/>
        <v>2577435</v>
      </c>
      <c r="AR93" s="81"/>
      <c r="AS93" s="81"/>
      <c r="AT93" s="81">
        <f t="shared" si="195"/>
        <v>2217547.5</v>
      </c>
      <c r="AU93" s="81"/>
      <c r="AV93" s="81"/>
      <c r="AW93" s="81">
        <f t="shared" si="195"/>
        <v>1832607</v>
      </c>
      <c r="AX93" s="81"/>
      <c r="AY93" s="81"/>
      <c r="AZ93" s="81">
        <f t="shared" si="195"/>
        <v>2300172</v>
      </c>
      <c r="BA93" s="81"/>
      <c r="BB93" s="81"/>
      <c r="BC93" s="81">
        <f t="shared" si="195"/>
        <v>3361459.5</v>
      </c>
      <c r="BD93" s="81"/>
      <c r="BE93" s="81"/>
      <c r="BF93" s="81">
        <f t="shared" si="195"/>
        <v>2844072</v>
      </c>
      <c r="BG93" s="81">
        <v>1110</v>
      </c>
      <c r="BH93" s="81"/>
      <c r="BI93" s="81">
        <v>2576605.5</v>
      </c>
      <c r="BJ93" s="81"/>
      <c r="BK93" s="81"/>
      <c r="BL93" s="81">
        <f t="shared" si="195"/>
        <v>3553105.5</v>
      </c>
      <c r="BM93" s="81"/>
      <c r="BN93" s="81"/>
      <c r="BO93" s="81">
        <f t="shared" si="195"/>
        <v>3290605.5</v>
      </c>
      <c r="BP93" s="81"/>
      <c r="BQ93" s="81"/>
      <c r="BR93" s="81">
        <f t="shared" si="195"/>
        <v>0</v>
      </c>
      <c r="BT93" s="81">
        <f>SUM(BT94:BT99)</f>
        <v>10770</v>
      </c>
      <c r="BU93" s="52">
        <f>IFERROR(BV93/BT93,0)</f>
        <v>2730.9095143701043</v>
      </c>
      <c r="BV93" s="81">
        <f>SUM(BV94:BV99)</f>
        <v>29411895.469766021</v>
      </c>
      <c r="BW93" s="53"/>
      <c r="BX93" s="53"/>
      <c r="BY93" s="81">
        <f>SUM(BY94:BY99)</f>
        <v>3417816.109520888</v>
      </c>
      <c r="BZ93" s="53"/>
      <c r="CA93" s="53"/>
      <c r="CB93" s="81">
        <f>SUM(CB94:CB99)</f>
        <v>2618042.2604837408</v>
      </c>
      <c r="CC93" s="53"/>
      <c r="CD93" s="53"/>
      <c r="CE93" s="81">
        <f t="shared" ref="CE93" si="196">SUM(CE94:CE99)</f>
        <v>1731163.6541792117</v>
      </c>
      <c r="CF93" s="53"/>
      <c r="CG93" s="53"/>
      <c r="CH93" s="81">
        <f t="shared" ref="CH93" si="197">SUM(CH94:CH99)</f>
        <v>2246639.3849441106</v>
      </c>
      <c r="CI93" s="53"/>
      <c r="CJ93" s="53"/>
      <c r="CK93" s="81">
        <f t="shared" ref="CK93" si="198">SUM(CK94:CK99)</f>
        <v>2308963.3759946693</v>
      </c>
      <c r="CL93" s="53"/>
      <c r="CM93" s="53"/>
      <c r="CN93" s="81">
        <f t="shared" ref="CN93" si="199">SUM(CN94:CN99)</f>
        <v>2268863.0254887841</v>
      </c>
      <c r="CO93" s="53"/>
      <c r="CP93" s="53"/>
      <c r="CQ93" s="81">
        <f>SUM(CQ94:CQ99)</f>
        <v>2649784.1740868278</v>
      </c>
      <c r="CR93" s="53"/>
      <c r="CS93" s="53"/>
      <c r="CT93" s="81">
        <f t="shared" ref="CT93" si="200">SUM(CT94:CT99)</f>
        <v>2562475.6433310085</v>
      </c>
      <c r="CU93" s="53">
        <v>1011</v>
      </c>
      <c r="CV93" s="53"/>
      <c r="CW93" s="81">
        <v>2438589.2970945751</v>
      </c>
      <c r="CX93" s="81">
        <f>SUM(CX94:CX99)</f>
        <v>1216</v>
      </c>
      <c r="CY93" s="53"/>
      <c r="CZ93" s="81">
        <f t="shared" ref="CZ93" si="201">SUM(CZ94:CZ99)</f>
        <v>3277986.595115094</v>
      </c>
      <c r="DA93" s="53"/>
      <c r="DB93" s="53"/>
      <c r="DC93" s="81">
        <f t="shared" ref="DC93" si="202">SUM(DC94:DC99)</f>
        <v>3891571.9495271132</v>
      </c>
      <c r="DD93" s="53"/>
      <c r="DE93" s="53"/>
      <c r="DF93" s="82">
        <f t="shared" ref="DF93" si="203">SUM(DF94:DF99)</f>
        <v>0</v>
      </c>
    </row>
    <row r="94" spans="1:110" ht="24.95" customHeight="1">
      <c r="A94" s="89">
        <v>72</v>
      </c>
      <c r="B94" s="74" t="s">
        <v>198</v>
      </c>
      <c r="C94" s="85" t="s">
        <v>197</v>
      </c>
      <c r="D94" s="75" t="s">
        <v>201</v>
      </c>
      <c r="E94" s="70" t="s">
        <v>205</v>
      </c>
      <c r="F94" s="60" t="s">
        <v>202</v>
      </c>
      <c r="G94" s="64">
        <v>5</v>
      </c>
      <c r="H94" s="76">
        <v>11576.25</v>
      </c>
      <c r="I94" s="76">
        <v>57881.25</v>
      </c>
      <c r="J94" s="33"/>
      <c r="K94" s="33">
        <v>0</v>
      </c>
      <c r="L94" s="33">
        <f t="shared" si="108"/>
        <v>0</v>
      </c>
      <c r="M94" s="34">
        <v>5</v>
      </c>
      <c r="N94" s="33">
        <f t="shared" ref="N94:N99" si="204">IFERROR((G94*H94+J94*K94)/(G94+J94),0)</f>
        <v>11576.25</v>
      </c>
      <c r="O94" s="33">
        <f t="shared" ref="O94:O99" si="205">M94*N94</f>
        <v>57881.25</v>
      </c>
      <c r="P94" s="137">
        <f>G94+J94-M94</f>
        <v>0</v>
      </c>
      <c r="Q94" s="34">
        <f>N94</f>
        <v>11576.25</v>
      </c>
      <c r="R94" s="33">
        <f>P94*Q94</f>
        <v>0</v>
      </c>
      <c r="S94" s="36">
        <v>46865</v>
      </c>
      <c r="T94" s="34">
        <v>75</v>
      </c>
      <c r="U94" s="34">
        <v>11576.25</v>
      </c>
      <c r="V94" s="34">
        <v>868218.75</v>
      </c>
      <c r="W94" s="34">
        <v>78</v>
      </c>
      <c r="X94" s="34">
        <v>11576.248798076924</v>
      </c>
      <c r="Y94" s="34">
        <v>902947.40625</v>
      </c>
      <c r="Z94" s="34">
        <v>10</v>
      </c>
      <c r="AA94" s="33">
        <v>11576.25</v>
      </c>
      <c r="AB94" s="34">
        <f t="shared" ref="AB94:AB99" si="206">Z94*AA94</f>
        <v>115762.5</v>
      </c>
      <c r="AC94" s="33">
        <v>3</v>
      </c>
      <c r="AD94" s="33">
        <v>11576.21875</v>
      </c>
      <c r="AE94" s="33">
        <v>34728.65625</v>
      </c>
      <c r="AF94" s="65">
        <f t="shared" ref="AF94:AF99" si="207">SUMIF($AI$6:$BR$6,$AF$6,AI94:BR94)</f>
        <v>75</v>
      </c>
      <c r="AG94" s="33">
        <f t="shared" ref="AG94:AG99" si="208">IFERROR(AH94/AF94,0)</f>
        <v>11576.25</v>
      </c>
      <c r="AH94" s="65">
        <f t="shared" si="52"/>
        <v>868218.75</v>
      </c>
      <c r="AI94" s="33">
        <v>5</v>
      </c>
      <c r="AJ94" s="33">
        <v>11576.25</v>
      </c>
      <c r="AK94" s="33">
        <v>57881.25</v>
      </c>
      <c r="AL94" s="33"/>
      <c r="AM94" s="33"/>
      <c r="AN94" s="33"/>
      <c r="AO94" s="33">
        <v>20</v>
      </c>
      <c r="AP94" s="33">
        <v>11576.25</v>
      </c>
      <c r="AQ94" s="33">
        <v>231525</v>
      </c>
      <c r="AR94" s="33">
        <v>10</v>
      </c>
      <c r="AS94" s="33">
        <v>11576.25</v>
      </c>
      <c r="AT94" s="33">
        <v>115762.5</v>
      </c>
      <c r="AU94" s="33"/>
      <c r="AV94" s="33">
        <v>0</v>
      </c>
      <c r="AW94" s="33">
        <v>0</v>
      </c>
      <c r="AX94" s="33"/>
      <c r="AY94" s="33">
        <v>0</v>
      </c>
      <c r="AZ94" s="33">
        <v>0</v>
      </c>
      <c r="BA94" s="33">
        <v>30</v>
      </c>
      <c r="BB94" s="33">
        <v>11576.25</v>
      </c>
      <c r="BC94" s="33">
        <v>347287.5</v>
      </c>
      <c r="BD94" s="33">
        <v>10</v>
      </c>
      <c r="BE94" s="33">
        <v>11576.25</v>
      </c>
      <c r="BF94" s="33">
        <v>115762.5</v>
      </c>
      <c r="BG94" s="33"/>
      <c r="BH94" s="33"/>
      <c r="BI94" s="33">
        <v>0</v>
      </c>
      <c r="BJ94" s="33"/>
      <c r="BK94" s="33">
        <v>0</v>
      </c>
      <c r="BL94" s="33">
        <v>0</v>
      </c>
      <c r="BM94" s="33"/>
      <c r="BN94" s="33">
        <v>0</v>
      </c>
      <c r="BO94" s="33">
        <v>0</v>
      </c>
      <c r="BP94" s="33"/>
      <c r="BQ94" s="33"/>
      <c r="BR94" s="33"/>
      <c r="BT94" s="65">
        <f t="shared" ref="BT94:BT99" si="209">SUMIF($BW$6:$DF$6,$BT$6,BW94:DF94)</f>
        <v>78</v>
      </c>
      <c r="BU94" s="33">
        <f t="shared" ref="BU94:BU99" si="210">IFERROR(BV94/BT94,0)</f>
        <v>11576.248798076924</v>
      </c>
      <c r="BV94" s="65">
        <f t="shared" si="137"/>
        <v>902947.40625</v>
      </c>
      <c r="BW94" s="33">
        <v>6</v>
      </c>
      <c r="BX94" s="33">
        <v>11576.23828125</v>
      </c>
      <c r="BY94" s="33">
        <v>69457.4296875</v>
      </c>
      <c r="BZ94" s="33">
        <v>1</v>
      </c>
      <c r="CA94" s="33">
        <v>11576.23828125</v>
      </c>
      <c r="CB94" s="33">
        <v>11576.23828125</v>
      </c>
      <c r="CC94" s="33">
        <v>9</v>
      </c>
      <c r="CD94" s="33">
        <v>11576.249441964286</v>
      </c>
      <c r="CE94" s="33">
        <v>104186.24497767858</v>
      </c>
      <c r="CF94" s="33">
        <v>13</v>
      </c>
      <c r="CG94" s="33">
        <v>11576.249695616883</v>
      </c>
      <c r="CH94" s="33">
        <v>150491.24604301949</v>
      </c>
      <c r="CI94" s="33">
        <v>6</v>
      </c>
      <c r="CJ94" s="33">
        <v>11576.249695616883</v>
      </c>
      <c r="CK94" s="33">
        <v>69457.4981737013</v>
      </c>
      <c r="CL94" s="33">
        <v>3</v>
      </c>
      <c r="CM94" s="33">
        <v>11576.249695616883</v>
      </c>
      <c r="CN94" s="33">
        <v>34728.74908685065</v>
      </c>
      <c r="CO94" s="33">
        <v>13</v>
      </c>
      <c r="CP94" s="33">
        <v>11576.25</v>
      </c>
      <c r="CQ94" s="33">
        <v>150491.25</v>
      </c>
      <c r="CR94" s="33">
        <v>15</v>
      </c>
      <c r="CS94" s="33">
        <v>11576.25</v>
      </c>
      <c r="CT94" s="33">
        <v>173643.75</v>
      </c>
      <c r="CU94" s="33">
        <v>4</v>
      </c>
      <c r="CV94" s="33">
        <v>11576.25</v>
      </c>
      <c r="CW94" s="33">
        <v>46305</v>
      </c>
      <c r="CX94" s="34">
        <v>3</v>
      </c>
      <c r="CY94" s="35">
        <f t="shared" ref="CY94:CY99" si="211">IFERROR((CR94*CS94+CU94*CV94)/(CR94+CU94),0)</f>
        <v>11576.25</v>
      </c>
      <c r="CZ94" s="33">
        <f t="shared" ref="CZ94:CZ99" si="212">CX94*CY94</f>
        <v>34728.75</v>
      </c>
      <c r="DA94" s="34">
        <v>5</v>
      </c>
      <c r="DB94" s="33">
        <v>11576.25</v>
      </c>
      <c r="DC94" s="33">
        <v>57881.25</v>
      </c>
      <c r="DD94" s="33"/>
      <c r="DE94" s="33"/>
      <c r="DF94" s="66"/>
    </row>
    <row r="95" spans="1:110" ht="24.95" customHeight="1">
      <c r="A95" s="89">
        <v>73</v>
      </c>
      <c r="B95" s="74" t="s">
        <v>199</v>
      </c>
      <c r="C95" s="85" t="s">
        <v>197</v>
      </c>
      <c r="D95" s="75" t="s">
        <v>200</v>
      </c>
      <c r="E95" s="70" t="s">
        <v>56</v>
      </c>
      <c r="F95" s="60" t="s">
        <v>202</v>
      </c>
      <c r="G95" s="64">
        <v>31</v>
      </c>
      <c r="H95" s="76">
        <v>13125</v>
      </c>
      <c r="I95" s="76">
        <v>406875</v>
      </c>
      <c r="J95" s="33">
        <v>30</v>
      </c>
      <c r="K95" s="33">
        <v>13125</v>
      </c>
      <c r="L95" s="33">
        <f t="shared" si="108"/>
        <v>393750</v>
      </c>
      <c r="M95" s="34">
        <v>42</v>
      </c>
      <c r="N95" s="33">
        <f t="shared" si="204"/>
        <v>13125</v>
      </c>
      <c r="O95" s="33">
        <f t="shared" si="205"/>
        <v>551250</v>
      </c>
      <c r="P95" s="137">
        <f t="shared" ref="P95:P99" si="213">G95+J95-M95</f>
        <v>19</v>
      </c>
      <c r="Q95" s="34">
        <f t="shared" ref="Q95:Q99" si="214">N95</f>
        <v>13125</v>
      </c>
      <c r="R95" s="33">
        <f t="shared" ref="R95:R99" si="215">P95*Q95</f>
        <v>249375</v>
      </c>
      <c r="S95" s="36">
        <v>46980</v>
      </c>
      <c r="T95" s="34">
        <v>150</v>
      </c>
      <c r="U95" s="34">
        <v>13125</v>
      </c>
      <c r="V95" s="34">
        <v>1968750</v>
      </c>
      <c r="W95" s="34">
        <v>142</v>
      </c>
      <c r="X95" s="34">
        <v>13125</v>
      </c>
      <c r="Y95" s="34">
        <v>1863750</v>
      </c>
      <c r="Z95" s="34">
        <v>10</v>
      </c>
      <c r="AA95" s="33">
        <v>13125</v>
      </c>
      <c r="AB95" s="34">
        <f t="shared" si="206"/>
        <v>131250</v>
      </c>
      <c r="AC95" s="33">
        <v>11</v>
      </c>
      <c r="AD95" s="33">
        <v>13125</v>
      </c>
      <c r="AE95" s="33">
        <v>144375</v>
      </c>
      <c r="AF95" s="65">
        <f t="shared" si="207"/>
        <v>150</v>
      </c>
      <c r="AG95" s="33">
        <f t="shared" si="208"/>
        <v>13125</v>
      </c>
      <c r="AH95" s="65">
        <f t="shared" si="52"/>
        <v>1968750</v>
      </c>
      <c r="AI95" s="33">
        <v>20</v>
      </c>
      <c r="AJ95" s="33">
        <v>13125</v>
      </c>
      <c r="AK95" s="33">
        <v>262500</v>
      </c>
      <c r="AL95" s="33"/>
      <c r="AM95" s="33"/>
      <c r="AN95" s="33"/>
      <c r="AO95" s="33">
        <v>10</v>
      </c>
      <c r="AP95" s="33">
        <v>13125</v>
      </c>
      <c r="AQ95" s="33">
        <v>131250</v>
      </c>
      <c r="AR95" s="33"/>
      <c r="AS95" s="33">
        <v>0</v>
      </c>
      <c r="AT95" s="33">
        <v>0</v>
      </c>
      <c r="AU95" s="33"/>
      <c r="AV95" s="33">
        <v>0</v>
      </c>
      <c r="AW95" s="33">
        <v>0</v>
      </c>
      <c r="AX95" s="33"/>
      <c r="AY95" s="33">
        <v>0</v>
      </c>
      <c r="AZ95" s="33">
        <v>0</v>
      </c>
      <c r="BA95" s="33">
        <v>20</v>
      </c>
      <c r="BB95" s="33">
        <v>13125</v>
      </c>
      <c r="BC95" s="33">
        <v>262500</v>
      </c>
      <c r="BD95" s="33">
        <v>10</v>
      </c>
      <c r="BE95" s="33">
        <v>13125</v>
      </c>
      <c r="BF95" s="33">
        <v>131250</v>
      </c>
      <c r="BG95" s="33">
        <v>10</v>
      </c>
      <c r="BH95" s="33">
        <v>13125</v>
      </c>
      <c r="BI95" s="33">
        <v>131250</v>
      </c>
      <c r="BJ95" s="33">
        <v>50</v>
      </c>
      <c r="BK95" s="33">
        <v>13125</v>
      </c>
      <c r="BL95" s="33">
        <v>656250</v>
      </c>
      <c r="BM95" s="33">
        <v>30</v>
      </c>
      <c r="BN95" s="33">
        <v>13125</v>
      </c>
      <c r="BO95" s="33">
        <v>393750</v>
      </c>
      <c r="BP95" s="33"/>
      <c r="BQ95" s="33"/>
      <c r="BR95" s="33"/>
      <c r="BT95" s="65">
        <f t="shared" si="209"/>
        <v>142</v>
      </c>
      <c r="BU95" s="33">
        <f t="shared" si="210"/>
        <v>13125</v>
      </c>
      <c r="BV95" s="65">
        <f t="shared" si="137"/>
        <v>1863750</v>
      </c>
      <c r="BW95" s="33">
        <v>18</v>
      </c>
      <c r="BX95" s="33">
        <v>13125</v>
      </c>
      <c r="BY95" s="33">
        <v>236250</v>
      </c>
      <c r="BZ95" s="33">
        <v>9</v>
      </c>
      <c r="CA95" s="33">
        <v>13125</v>
      </c>
      <c r="CB95" s="33">
        <v>118125</v>
      </c>
      <c r="CC95" s="33">
        <v>2</v>
      </c>
      <c r="CD95" s="33">
        <v>13125</v>
      </c>
      <c r="CE95" s="33">
        <v>26250</v>
      </c>
      <c r="CF95" s="33">
        <v>5</v>
      </c>
      <c r="CG95" s="33">
        <v>13125</v>
      </c>
      <c r="CH95" s="33">
        <v>65625</v>
      </c>
      <c r="CI95" s="33">
        <v>3</v>
      </c>
      <c r="CJ95" s="33">
        <v>13125</v>
      </c>
      <c r="CK95" s="33">
        <v>39375</v>
      </c>
      <c r="CL95" s="33">
        <v>4</v>
      </c>
      <c r="CM95" s="33">
        <v>13125</v>
      </c>
      <c r="CN95" s="33">
        <v>52500</v>
      </c>
      <c r="CO95" s="33">
        <v>7</v>
      </c>
      <c r="CP95" s="33">
        <v>13125</v>
      </c>
      <c r="CQ95" s="33">
        <v>91875</v>
      </c>
      <c r="CR95" s="33">
        <v>8</v>
      </c>
      <c r="CS95" s="33">
        <v>13125</v>
      </c>
      <c r="CT95" s="33">
        <v>105000</v>
      </c>
      <c r="CU95" s="33">
        <v>7</v>
      </c>
      <c r="CV95" s="33">
        <v>13125</v>
      </c>
      <c r="CW95" s="33">
        <v>91875</v>
      </c>
      <c r="CX95" s="34">
        <v>37</v>
      </c>
      <c r="CY95" s="35">
        <f t="shared" si="211"/>
        <v>13125</v>
      </c>
      <c r="CZ95" s="33">
        <f t="shared" si="212"/>
        <v>485625</v>
      </c>
      <c r="DA95" s="34">
        <v>42</v>
      </c>
      <c r="DB95" s="33">
        <v>13125</v>
      </c>
      <c r="DC95" s="33">
        <v>551250</v>
      </c>
      <c r="DD95" s="33"/>
      <c r="DE95" s="33"/>
      <c r="DF95" s="66"/>
    </row>
    <row r="96" spans="1:110" ht="24.95" customHeight="1">
      <c r="A96" s="89">
        <v>74</v>
      </c>
      <c r="B96" s="74" t="s">
        <v>203</v>
      </c>
      <c r="C96" s="85" t="s">
        <v>197</v>
      </c>
      <c r="D96" s="75" t="s">
        <v>200</v>
      </c>
      <c r="E96" s="70" t="s">
        <v>204</v>
      </c>
      <c r="F96" s="60" t="s">
        <v>202</v>
      </c>
      <c r="G96" s="64">
        <v>23</v>
      </c>
      <c r="H96" s="76">
        <v>22575</v>
      </c>
      <c r="I96" s="76">
        <v>519225</v>
      </c>
      <c r="J96" s="33">
        <v>30</v>
      </c>
      <c r="K96" s="33">
        <v>22575</v>
      </c>
      <c r="L96" s="33">
        <f t="shared" si="108"/>
        <v>677250</v>
      </c>
      <c r="M96" s="34">
        <v>37</v>
      </c>
      <c r="N96" s="33">
        <f t="shared" si="204"/>
        <v>22575</v>
      </c>
      <c r="O96" s="33">
        <f t="shared" si="205"/>
        <v>835275</v>
      </c>
      <c r="P96" s="137">
        <f t="shared" si="213"/>
        <v>16</v>
      </c>
      <c r="Q96" s="34">
        <f t="shared" si="214"/>
        <v>22575</v>
      </c>
      <c r="R96" s="33">
        <f t="shared" si="215"/>
        <v>361200</v>
      </c>
      <c r="S96" s="36">
        <v>46972</v>
      </c>
      <c r="T96" s="34">
        <v>125</v>
      </c>
      <c r="U96" s="34">
        <v>22575</v>
      </c>
      <c r="V96" s="34">
        <v>2821875</v>
      </c>
      <c r="W96" s="34">
        <v>122</v>
      </c>
      <c r="X96" s="34">
        <v>22574.679627229991</v>
      </c>
      <c r="Y96" s="34">
        <v>2754110.9145220588</v>
      </c>
      <c r="Z96" s="34">
        <v>10</v>
      </c>
      <c r="AA96" s="33">
        <v>22575</v>
      </c>
      <c r="AB96" s="34">
        <f t="shared" si="206"/>
        <v>225750</v>
      </c>
      <c r="AC96" s="33">
        <v>13</v>
      </c>
      <c r="AD96" s="33">
        <v>22571.993424773755</v>
      </c>
      <c r="AE96" s="33">
        <v>293435.9145220588</v>
      </c>
      <c r="AF96" s="65">
        <f t="shared" si="207"/>
        <v>125</v>
      </c>
      <c r="AG96" s="33">
        <f t="shared" si="208"/>
        <v>22575</v>
      </c>
      <c r="AH96" s="65">
        <f t="shared" ref="AH96:AH99" si="216">SUMIF($AI$6:$BR$6,$AH$6,AI96:BR96)</f>
        <v>2821875</v>
      </c>
      <c r="AI96" s="33">
        <v>10</v>
      </c>
      <c r="AJ96" s="33">
        <v>22575</v>
      </c>
      <c r="AK96" s="33">
        <v>225750</v>
      </c>
      <c r="AL96" s="33"/>
      <c r="AM96" s="33"/>
      <c r="AN96" s="33"/>
      <c r="AO96" s="33">
        <v>10</v>
      </c>
      <c r="AP96" s="33">
        <v>22575</v>
      </c>
      <c r="AQ96" s="33">
        <v>225750</v>
      </c>
      <c r="AR96" s="33">
        <v>5</v>
      </c>
      <c r="AS96" s="33">
        <v>22575</v>
      </c>
      <c r="AT96" s="33">
        <v>112875</v>
      </c>
      <c r="AU96" s="33"/>
      <c r="AV96" s="33">
        <v>0</v>
      </c>
      <c r="AW96" s="33">
        <v>0</v>
      </c>
      <c r="AX96" s="33"/>
      <c r="AY96" s="33">
        <v>0</v>
      </c>
      <c r="AZ96" s="33">
        <v>0</v>
      </c>
      <c r="BA96" s="33">
        <v>20</v>
      </c>
      <c r="BB96" s="33">
        <v>22575</v>
      </c>
      <c r="BC96" s="33">
        <v>451500</v>
      </c>
      <c r="BD96" s="33">
        <v>10</v>
      </c>
      <c r="BE96" s="33">
        <v>22575</v>
      </c>
      <c r="BF96" s="33">
        <v>225750</v>
      </c>
      <c r="BG96" s="33">
        <v>10</v>
      </c>
      <c r="BH96" s="33">
        <v>22575</v>
      </c>
      <c r="BI96" s="33">
        <v>225750</v>
      </c>
      <c r="BJ96" s="33">
        <v>30</v>
      </c>
      <c r="BK96" s="33">
        <v>22575</v>
      </c>
      <c r="BL96" s="33">
        <v>677250</v>
      </c>
      <c r="BM96" s="33">
        <v>30</v>
      </c>
      <c r="BN96" s="33">
        <v>22575</v>
      </c>
      <c r="BO96" s="33">
        <v>677250</v>
      </c>
      <c r="BP96" s="33"/>
      <c r="BQ96" s="33"/>
      <c r="BR96" s="33"/>
      <c r="BT96" s="65">
        <f t="shared" si="209"/>
        <v>122</v>
      </c>
      <c r="BU96" s="33">
        <f t="shared" si="210"/>
        <v>22574.679627229991</v>
      </c>
      <c r="BV96" s="65">
        <f t="shared" si="137"/>
        <v>2754110.9145220588</v>
      </c>
      <c r="BW96" s="33">
        <v>15</v>
      </c>
      <c r="BX96" s="33">
        <v>22573.30063139386</v>
      </c>
      <c r="BY96" s="33">
        <v>338599.50947090791</v>
      </c>
      <c r="BZ96" s="33">
        <v>8</v>
      </c>
      <c r="CA96" s="33">
        <v>22573.30063139386</v>
      </c>
      <c r="CB96" s="33">
        <v>180586.40505115088</v>
      </c>
      <c r="CC96" s="33">
        <v>4</v>
      </c>
      <c r="CD96" s="33">
        <v>22575</v>
      </c>
      <c r="CE96" s="33">
        <v>90300</v>
      </c>
      <c r="CF96" s="33">
        <v>7</v>
      </c>
      <c r="CG96" s="33">
        <v>22575</v>
      </c>
      <c r="CH96" s="33">
        <v>158025</v>
      </c>
      <c r="CI96" s="33">
        <v>2</v>
      </c>
      <c r="CJ96" s="33">
        <v>22575</v>
      </c>
      <c r="CK96" s="33">
        <v>45150</v>
      </c>
      <c r="CL96" s="33">
        <v>2</v>
      </c>
      <c r="CM96" s="33">
        <v>22575</v>
      </c>
      <c r="CN96" s="33">
        <v>45150</v>
      </c>
      <c r="CO96" s="33">
        <v>7</v>
      </c>
      <c r="CP96" s="33">
        <v>22575</v>
      </c>
      <c r="CQ96" s="33">
        <v>158025</v>
      </c>
      <c r="CR96" s="33">
        <v>9</v>
      </c>
      <c r="CS96" s="33">
        <v>22575</v>
      </c>
      <c r="CT96" s="33">
        <v>203175</v>
      </c>
      <c r="CU96" s="33">
        <v>10</v>
      </c>
      <c r="CV96" s="33">
        <v>22575</v>
      </c>
      <c r="CW96" s="33">
        <v>225750</v>
      </c>
      <c r="CX96" s="34">
        <v>21</v>
      </c>
      <c r="CY96" s="35">
        <f t="shared" si="211"/>
        <v>22575</v>
      </c>
      <c r="CZ96" s="33">
        <f t="shared" si="212"/>
        <v>474075</v>
      </c>
      <c r="DA96" s="34">
        <v>37</v>
      </c>
      <c r="DB96" s="33">
        <v>22575</v>
      </c>
      <c r="DC96" s="33">
        <v>835275</v>
      </c>
      <c r="DD96" s="33"/>
      <c r="DE96" s="33"/>
      <c r="DF96" s="66"/>
    </row>
    <row r="97" spans="1:110" ht="24.95" customHeight="1">
      <c r="A97" s="89">
        <v>75</v>
      </c>
      <c r="B97" s="74" t="s">
        <v>209</v>
      </c>
      <c r="C97" s="85" t="s">
        <v>197</v>
      </c>
      <c r="D97" s="75" t="s">
        <v>206</v>
      </c>
      <c r="E97" s="70" t="s">
        <v>207</v>
      </c>
      <c r="F97" s="60" t="s">
        <v>196</v>
      </c>
      <c r="G97" s="64">
        <v>54</v>
      </c>
      <c r="H97" s="76">
        <v>9150.7499860302414</v>
      </c>
      <c r="I97" s="76">
        <v>494140.49924563302</v>
      </c>
      <c r="J97" s="33">
        <v>80</v>
      </c>
      <c r="K97" s="33">
        <v>9150.75</v>
      </c>
      <c r="L97" s="33">
        <f t="shared" si="108"/>
        <v>732060</v>
      </c>
      <c r="M97" s="34">
        <v>84</v>
      </c>
      <c r="N97" s="33">
        <f t="shared" si="204"/>
        <v>9150.7499943703951</v>
      </c>
      <c r="O97" s="33">
        <f t="shared" si="205"/>
        <v>768662.99952711316</v>
      </c>
      <c r="P97" s="137">
        <f t="shared" si="213"/>
        <v>50</v>
      </c>
      <c r="Q97" s="34">
        <f t="shared" si="214"/>
        <v>9150.7499943703951</v>
      </c>
      <c r="R97" s="33">
        <f t="shared" si="215"/>
        <v>457537.49971851974</v>
      </c>
      <c r="S97" s="36">
        <v>47016</v>
      </c>
      <c r="T97" s="34">
        <v>800</v>
      </c>
      <c r="U97" s="34">
        <v>9150.75</v>
      </c>
      <c r="V97" s="34">
        <v>7320600</v>
      </c>
      <c r="W97" s="34">
        <v>800</v>
      </c>
      <c r="X97" s="34">
        <v>9150.7346862424547</v>
      </c>
      <c r="Y97" s="34">
        <v>7320587.7489939639</v>
      </c>
      <c r="Z97" s="34">
        <v>80</v>
      </c>
      <c r="AA97" s="33">
        <v>9150.7499632224735</v>
      </c>
      <c r="AB97" s="34">
        <f t="shared" si="206"/>
        <v>732059.99705779785</v>
      </c>
      <c r="AC97" s="33">
        <v>50</v>
      </c>
      <c r="AD97" s="33">
        <v>9150.5050509931552</v>
      </c>
      <c r="AE97" s="33">
        <v>457525.25254965777</v>
      </c>
      <c r="AF97" s="65">
        <f t="shared" si="207"/>
        <v>800</v>
      </c>
      <c r="AG97" s="33">
        <f t="shared" si="208"/>
        <v>9150.75</v>
      </c>
      <c r="AH97" s="65">
        <f t="shared" si="216"/>
        <v>7320600</v>
      </c>
      <c r="AI97" s="33">
        <v>120</v>
      </c>
      <c r="AJ97" s="33">
        <v>9150.75</v>
      </c>
      <c r="AK97" s="33">
        <v>1098090</v>
      </c>
      <c r="AL97" s="33"/>
      <c r="AM97" s="33"/>
      <c r="AN97" s="33"/>
      <c r="AO97" s="33">
        <v>70</v>
      </c>
      <c r="AP97" s="33">
        <v>9150.75</v>
      </c>
      <c r="AQ97" s="33">
        <v>640552.5</v>
      </c>
      <c r="AR97" s="33">
        <v>70</v>
      </c>
      <c r="AS97" s="33">
        <v>9150.75</v>
      </c>
      <c r="AT97" s="33">
        <v>640552.5</v>
      </c>
      <c r="AU97" s="33">
        <v>60</v>
      </c>
      <c r="AV97" s="33">
        <v>9150.75</v>
      </c>
      <c r="AW97" s="33">
        <v>549045</v>
      </c>
      <c r="AX97" s="33">
        <v>80</v>
      </c>
      <c r="AY97" s="33">
        <v>9150.75</v>
      </c>
      <c r="AZ97" s="33">
        <v>732060</v>
      </c>
      <c r="BA97" s="33">
        <v>80</v>
      </c>
      <c r="BB97" s="33">
        <v>9150.75</v>
      </c>
      <c r="BC97" s="33">
        <v>732060</v>
      </c>
      <c r="BD97" s="33">
        <v>80</v>
      </c>
      <c r="BE97" s="33">
        <v>9150.75</v>
      </c>
      <c r="BF97" s="33">
        <v>732060</v>
      </c>
      <c r="BG97" s="33">
        <v>80</v>
      </c>
      <c r="BH97" s="33">
        <v>9150.75</v>
      </c>
      <c r="BI97" s="33">
        <v>732060</v>
      </c>
      <c r="BJ97" s="33">
        <v>80</v>
      </c>
      <c r="BK97" s="33">
        <v>9150.75</v>
      </c>
      <c r="BL97" s="33">
        <v>732060</v>
      </c>
      <c r="BM97" s="33">
        <v>80</v>
      </c>
      <c r="BN97" s="33">
        <v>9150.75</v>
      </c>
      <c r="BO97" s="33">
        <v>732060</v>
      </c>
      <c r="BP97" s="33"/>
      <c r="BQ97" s="33"/>
      <c r="BR97" s="33"/>
      <c r="BT97" s="65">
        <f t="shared" si="209"/>
        <v>800</v>
      </c>
      <c r="BU97" s="33">
        <f t="shared" si="210"/>
        <v>9150.7346862424547</v>
      </c>
      <c r="BV97" s="65">
        <f t="shared" si="137"/>
        <v>7320587.7489939639</v>
      </c>
      <c r="BW97" s="33">
        <v>83</v>
      </c>
      <c r="BX97" s="33">
        <v>9150.677956174457</v>
      </c>
      <c r="BY97" s="33">
        <v>759506.27036247996</v>
      </c>
      <c r="BZ97" s="33">
        <v>65</v>
      </c>
      <c r="CA97" s="33">
        <v>9150.677956174457</v>
      </c>
      <c r="CB97" s="33">
        <v>594794.06715133972</v>
      </c>
      <c r="CC97" s="33">
        <v>43</v>
      </c>
      <c r="CD97" s="33">
        <v>9150.7327721286747</v>
      </c>
      <c r="CE97" s="33">
        <v>393481.50920153299</v>
      </c>
      <c r="CF97" s="33">
        <v>65</v>
      </c>
      <c r="CG97" s="33">
        <v>9150.7429061706316</v>
      </c>
      <c r="CH97" s="33">
        <v>594798.28890109109</v>
      </c>
      <c r="CI97" s="33">
        <v>81</v>
      </c>
      <c r="CJ97" s="33">
        <v>9150.7466397650369</v>
      </c>
      <c r="CK97" s="33">
        <v>741210.47782096802</v>
      </c>
      <c r="CL97" s="33">
        <v>75</v>
      </c>
      <c r="CM97" s="33">
        <v>9150.7490186924442</v>
      </c>
      <c r="CN97" s="33">
        <v>686306.17640193331</v>
      </c>
      <c r="CO97" s="33">
        <v>82</v>
      </c>
      <c r="CP97" s="33">
        <v>9150.7496839857013</v>
      </c>
      <c r="CQ97" s="33">
        <v>750361.47408682748</v>
      </c>
      <c r="CR97" s="33">
        <v>68</v>
      </c>
      <c r="CS97" s="33">
        <v>9150.7499019265961</v>
      </c>
      <c r="CT97" s="33">
        <v>622250.99333100859</v>
      </c>
      <c r="CU97" s="33">
        <v>79</v>
      </c>
      <c r="CV97" s="33">
        <v>9150.7499632224735</v>
      </c>
      <c r="CW97" s="33">
        <v>722909.24709457543</v>
      </c>
      <c r="CX97" s="34">
        <v>75</v>
      </c>
      <c r="CY97" s="35">
        <f t="shared" si="211"/>
        <v>9150.7499348679175</v>
      </c>
      <c r="CZ97" s="33">
        <f t="shared" si="212"/>
        <v>686306.24511509377</v>
      </c>
      <c r="DA97" s="34">
        <v>84</v>
      </c>
      <c r="DB97" s="33">
        <v>9150.7499943703951</v>
      </c>
      <c r="DC97" s="33">
        <v>768662.99952711316</v>
      </c>
      <c r="DD97" s="33"/>
      <c r="DE97" s="33"/>
      <c r="DF97" s="66"/>
    </row>
    <row r="98" spans="1:110" ht="24.95" customHeight="1">
      <c r="A98" s="89">
        <v>76</v>
      </c>
      <c r="B98" s="74" t="s">
        <v>208</v>
      </c>
      <c r="C98" s="85" t="s">
        <v>197</v>
      </c>
      <c r="D98" s="75" t="s">
        <v>201</v>
      </c>
      <c r="E98" s="70" t="s">
        <v>210</v>
      </c>
      <c r="F98" s="60" t="s">
        <v>211</v>
      </c>
      <c r="G98" s="64">
        <v>10</v>
      </c>
      <c r="H98" s="76">
        <v>6479.55</v>
      </c>
      <c r="I98" s="76">
        <v>64795.5</v>
      </c>
      <c r="J98" s="33">
        <v>10</v>
      </c>
      <c r="K98" s="33">
        <v>6479.55</v>
      </c>
      <c r="L98" s="33">
        <f t="shared" si="108"/>
        <v>64795.5</v>
      </c>
      <c r="M98" s="34">
        <v>14</v>
      </c>
      <c r="N98" s="33">
        <f t="shared" si="204"/>
        <v>6479.55</v>
      </c>
      <c r="O98" s="33">
        <f t="shared" si="205"/>
        <v>90713.7</v>
      </c>
      <c r="P98" s="137">
        <f t="shared" si="213"/>
        <v>6</v>
      </c>
      <c r="Q98" s="34">
        <f t="shared" si="214"/>
        <v>6479.55</v>
      </c>
      <c r="R98" s="33">
        <f t="shared" si="215"/>
        <v>38877.300000000003</v>
      </c>
      <c r="S98" s="36">
        <v>47512</v>
      </c>
      <c r="T98" s="34">
        <v>470</v>
      </c>
      <c r="U98" s="34">
        <v>6479.55</v>
      </c>
      <c r="V98" s="34">
        <v>3045388.5</v>
      </c>
      <c r="W98" s="34">
        <v>568</v>
      </c>
      <c r="X98" s="34">
        <v>6479.5500000000011</v>
      </c>
      <c r="Y98" s="34">
        <v>3680384.4000000004</v>
      </c>
      <c r="Z98" s="34">
        <v>20</v>
      </c>
      <c r="AA98" s="33">
        <v>6479.5500000000011</v>
      </c>
      <c r="AB98" s="34">
        <f t="shared" si="206"/>
        <v>129591.00000000003</v>
      </c>
      <c r="AC98" s="33">
        <v>104</v>
      </c>
      <c r="AD98" s="33">
        <v>6479.55</v>
      </c>
      <c r="AE98" s="33">
        <v>673873.20000000007</v>
      </c>
      <c r="AF98" s="65">
        <f t="shared" si="207"/>
        <v>470</v>
      </c>
      <c r="AG98" s="33">
        <f t="shared" si="208"/>
        <v>6479.55</v>
      </c>
      <c r="AH98" s="65">
        <f t="shared" si="216"/>
        <v>3045388.5</v>
      </c>
      <c r="AI98" s="33">
        <v>180</v>
      </c>
      <c r="AJ98" s="33">
        <v>6479.55</v>
      </c>
      <c r="AK98" s="33">
        <v>1166319</v>
      </c>
      <c r="AL98" s="33"/>
      <c r="AM98" s="33"/>
      <c r="AN98" s="33"/>
      <c r="AO98" s="33">
        <v>50</v>
      </c>
      <c r="AP98" s="33">
        <v>6479.55</v>
      </c>
      <c r="AQ98" s="33">
        <v>323977.5</v>
      </c>
      <c r="AR98" s="33">
        <v>50</v>
      </c>
      <c r="AS98" s="33">
        <v>6479.55</v>
      </c>
      <c r="AT98" s="33">
        <v>323977.5</v>
      </c>
      <c r="AU98" s="33">
        <v>40</v>
      </c>
      <c r="AV98" s="33">
        <v>6479.55</v>
      </c>
      <c r="AW98" s="33">
        <v>259182</v>
      </c>
      <c r="AX98" s="33">
        <v>40</v>
      </c>
      <c r="AY98" s="33">
        <v>6479.55</v>
      </c>
      <c r="AZ98" s="33">
        <v>259182</v>
      </c>
      <c r="BA98" s="33">
        <v>40</v>
      </c>
      <c r="BB98" s="33">
        <v>6479.55</v>
      </c>
      <c r="BC98" s="33">
        <v>259182</v>
      </c>
      <c r="BD98" s="33">
        <v>40</v>
      </c>
      <c r="BE98" s="33">
        <v>6479.55</v>
      </c>
      <c r="BF98" s="33">
        <v>259182</v>
      </c>
      <c r="BG98" s="33">
        <v>10</v>
      </c>
      <c r="BH98" s="33">
        <v>6479.55</v>
      </c>
      <c r="BI98" s="33">
        <v>64795.5</v>
      </c>
      <c r="BJ98" s="33">
        <v>10</v>
      </c>
      <c r="BK98" s="33">
        <v>6479.55</v>
      </c>
      <c r="BL98" s="33">
        <v>64795.5</v>
      </c>
      <c r="BM98" s="33">
        <v>10</v>
      </c>
      <c r="BN98" s="33">
        <v>6479.55</v>
      </c>
      <c r="BO98" s="33">
        <v>64795.5</v>
      </c>
      <c r="BP98" s="33"/>
      <c r="BQ98" s="33"/>
      <c r="BR98" s="33"/>
      <c r="BT98" s="65">
        <f t="shared" si="209"/>
        <v>568</v>
      </c>
      <c r="BU98" s="33">
        <f t="shared" si="210"/>
        <v>6479.5500000000011</v>
      </c>
      <c r="BV98" s="65">
        <f t="shared" si="137"/>
        <v>3680384.4000000004</v>
      </c>
      <c r="BW98" s="33">
        <v>158</v>
      </c>
      <c r="BX98" s="33">
        <v>6479.5500000000011</v>
      </c>
      <c r="BY98" s="33">
        <v>1023768.9000000001</v>
      </c>
      <c r="BZ98" s="33">
        <v>101</v>
      </c>
      <c r="CA98" s="33">
        <v>6479.5500000000011</v>
      </c>
      <c r="CB98" s="33">
        <v>654434.55000000016</v>
      </c>
      <c r="CC98" s="33">
        <v>38</v>
      </c>
      <c r="CD98" s="33">
        <v>6479.55</v>
      </c>
      <c r="CE98" s="33">
        <v>246222.9</v>
      </c>
      <c r="CF98" s="33">
        <v>47</v>
      </c>
      <c r="CG98" s="33">
        <v>6479.55</v>
      </c>
      <c r="CH98" s="33">
        <v>304538.85000000003</v>
      </c>
      <c r="CI98" s="33">
        <v>68</v>
      </c>
      <c r="CJ98" s="33">
        <v>6479.55</v>
      </c>
      <c r="CK98" s="33">
        <v>440609.4</v>
      </c>
      <c r="CL98" s="33">
        <v>42</v>
      </c>
      <c r="CM98" s="33">
        <v>6479.5499999999993</v>
      </c>
      <c r="CN98" s="33">
        <v>272141.09999999998</v>
      </c>
      <c r="CO98" s="33">
        <v>39</v>
      </c>
      <c r="CP98" s="33">
        <v>6479.55</v>
      </c>
      <c r="CQ98" s="33">
        <v>252702.45</v>
      </c>
      <c r="CR98" s="33">
        <v>38</v>
      </c>
      <c r="CS98" s="33">
        <v>6479.55</v>
      </c>
      <c r="CT98" s="33">
        <v>246222.9</v>
      </c>
      <c r="CU98" s="33">
        <v>11</v>
      </c>
      <c r="CV98" s="33">
        <v>6479.5500000000011</v>
      </c>
      <c r="CW98" s="33">
        <v>71275.050000000017</v>
      </c>
      <c r="CX98" s="34">
        <v>12</v>
      </c>
      <c r="CY98" s="35">
        <f t="shared" si="211"/>
        <v>6479.55</v>
      </c>
      <c r="CZ98" s="33">
        <f t="shared" si="212"/>
        <v>77754.600000000006</v>
      </c>
      <c r="DA98" s="34">
        <v>14</v>
      </c>
      <c r="DB98" s="33">
        <v>6479.55</v>
      </c>
      <c r="DC98" s="33">
        <v>90713.7</v>
      </c>
      <c r="DD98" s="33"/>
      <c r="DE98" s="33"/>
      <c r="DF98" s="66"/>
    </row>
    <row r="99" spans="1:110" ht="24.95" customHeight="1">
      <c r="A99" s="89">
        <v>77</v>
      </c>
      <c r="B99" s="74" t="s">
        <v>212</v>
      </c>
      <c r="C99" s="85" t="s">
        <v>213</v>
      </c>
      <c r="D99" s="75"/>
      <c r="E99" s="70" t="s">
        <v>214</v>
      </c>
      <c r="F99" s="60" t="s">
        <v>215</v>
      </c>
      <c r="G99" s="64">
        <v>682</v>
      </c>
      <c r="H99" s="76">
        <v>1422.75</v>
      </c>
      <c r="I99" s="76">
        <v>970315.5</v>
      </c>
      <c r="J99" s="33">
        <v>1000</v>
      </c>
      <c r="K99" s="33">
        <v>1422.75</v>
      </c>
      <c r="L99" s="33">
        <f t="shared" si="108"/>
        <v>1422750</v>
      </c>
      <c r="M99" s="34">
        <v>1116</v>
      </c>
      <c r="N99" s="33">
        <f t="shared" si="204"/>
        <v>1422.75</v>
      </c>
      <c r="O99" s="33">
        <f t="shared" si="205"/>
        <v>1587789</v>
      </c>
      <c r="P99" s="137">
        <f t="shared" si="213"/>
        <v>566</v>
      </c>
      <c r="Q99" s="34">
        <f t="shared" si="214"/>
        <v>1422.75</v>
      </c>
      <c r="R99" s="33">
        <f t="shared" si="215"/>
        <v>805276.5</v>
      </c>
      <c r="S99" s="36">
        <v>46934</v>
      </c>
      <c r="T99" s="34">
        <v>9110</v>
      </c>
      <c r="U99" s="34">
        <v>1422.75</v>
      </c>
      <c r="V99" s="34">
        <v>12961252.5</v>
      </c>
      <c r="W99" s="34">
        <v>9060</v>
      </c>
      <c r="X99" s="34">
        <v>1422.75</v>
      </c>
      <c r="Y99" s="34">
        <v>12890115</v>
      </c>
      <c r="Z99" s="34">
        <v>1000</v>
      </c>
      <c r="AA99" s="33">
        <v>1422.75</v>
      </c>
      <c r="AB99" s="34">
        <f t="shared" si="206"/>
        <v>1422750</v>
      </c>
      <c r="AC99" s="33">
        <v>516</v>
      </c>
      <c r="AD99" s="33">
        <v>1422.75</v>
      </c>
      <c r="AE99" s="33">
        <v>734139</v>
      </c>
      <c r="AF99" s="65">
        <f t="shared" si="207"/>
        <v>9110</v>
      </c>
      <c r="AG99" s="33">
        <f t="shared" si="208"/>
        <v>1422.75</v>
      </c>
      <c r="AH99" s="65">
        <f t="shared" si="216"/>
        <v>12961252.5</v>
      </c>
      <c r="AI99" s="33">
        <v>1140</v>
      </c>
      <c r="AJ99" s="33">
        <v>1422.75</v>
      </c>
      <c r="AK99" s="33">
        <v>1621935</v>
      </c>
      <c r="AL99" s="33"/>
      <c r="AM99" s="33"/>
      <c r="AN99" s="33"/>
      <c r="AO99" s="33">
        <v>720</v>
      </c>
      <c r="AP99" s="33">
        <v>1422.75</v>
      </c>
      <c r="AQ99" s="33">
        <v>1024380</v>
      </c>
      <c r="AR99" s="33">
        <v>720</v>
      </c>
      <c r="AS99" s="33">
        <v>1422.75</v>
      </c>
      <c r="AT99" s="33">
        <v>1024380</v>
      </c>
      <c r="AU99" s="33">
        <v>720</v>
      </c>
      <c r="AV99" s="33">
        <v>1422.75</v>
      </c>
      <c r="AW99" s="33">
        <v>1024380</v>
      </c>
      <c r="AX99" s="33">
        <v>920</v>
      </c>
      <c r="AY99" s="33">
        <v>1422.75</v>
      </c>
      <c r="AZ99" s="33">
        <v>1308930</v>
      </c>
      <c r="BA99" s="33">
        <v>920</v>
      </c>
      <c r="BB99" s="33">
        <v>1422.75</v>
      </c>
      <c r="BC99" s="33">
        <v>1308930</v>
      </c>
      <c r="BD99" s="33">
        <v>970</v>
      </c>
      <c r="BE99" s="33">
        <v>1422.75</v>
      </c>
      <c r="BF99" s="33">
        <v>1380067.5</v>
      </c>
      <c r="BG99" s="33">
        <v>1000</v>
      </c>
      <c r="BH99" s="33">
        <v>1422.75</v>
      </c>
      <c r="BI99" s="33">
        <v>1422750</v>
      </c>
      <c r="BJ99" s="33">
        <v>1000</v>
      </c>
      <c r="BK99" s="33">
        <v>1422.75</v>
      </c>
      <c r="BL99" s="33">
        <v>1422750</v>
      </c>
      <c r="BM99" s="33">
        <v>1000</v>
      </c>
      <c r="BN99" s="33">
        <v>1422.75</v>
      </c>
      <c r="BO99" s="33">
        <v>1422750</v>
      </c>
      <c r="BP99" s="33"/>
      <c r="BQ99" s="33"/>
      <c r="BR99" s="33"/>
      <c r="BT99" s="65">
        <f t="shared" si="209"/>
        <v>9060</v>
      </c>
      <c r="BU99" s="33">
        <f t="shared" si="210"/>
        <v>1422.75</v>
      </c>
      <c r="BV99" s="65">
        <f t="shared" si="137"/>
        <v>12890115</v>
      </c>
      <c r="BW99" s="33">
        <v>696</v>
      </c>
      <c r="BX99" s="33">
        <v>1422.75</v>
      </c>
      <c r="BY99" s="33">
        <v>990234</v>
      </c>
      <c r="BZ99" s="33">
        <v>744</v>
      </c>
      <c r="CA99" s="33">
        <v>1422.75</v>
      </c>
      <c r="CB99" s="33">
        <v>1058526</v>
      </c>
      <c r="CC99" s="33">
        <v>612</v>
      </c>
      <c r="CD99" s="33">
        <v>1422.75</v>
      </c>
      <c r="CE99" s="33">
        <v>870723</v>
      </c>
      <c r="CF99" s="33">
        <v>684</v>
      </c>
      <c r="CG99" s="33">
        <v>1422.75</v>
      </c>
      <c r="CH99" s="33">
        <v>973161</v>
      </c>
      <c r="CI99" s="33">
        <v>684</v>
      </c>
      <c r="CJ99" s="33">
        <v>1422.75</v>
      </c>
      <c r="CK99" s="33">
        <v>973161</v>
      </c>
      <c r="CL99" s="33">
        <v>828</v>
      </c>
      <c r="CM99" s="33">
        <v>1422.75</v>
      </c>
      <c r="CN99" s="33">
        <v>1178037</v>
      </c>
      <c r="CO99" s="33">
        <v>876</v>
      </c>
      <c r="CP99" s="33">
        <v>1422.75</v>
      </c>
      <c r="CQ99" s="33">
        <v>1246329</v>
      </c>
      <c r="CR99" s="33">
        <v>852</v>
      </c>
      <c r="CS99" s="33">
        <v>1422.75</v>
      </c>
      <c r="CT99" s="33">
        <v>1212183</v>
      </c>
      <c r="CU99" s="33">
        <v>900</v>
      </c>
      <c r="CV99" s="33">
        <v>1422.75</v>
      </c>
      <c r="CW99" s="33">
        <v>1280475</v>
      </c>
      <c r="CX99" s="34">
        <v>1068</v>
      </c>
      <c r="CY99" s="35">
        <f t="shared" si="211"/>
        <v>1422.75</v>
      </c>
      <c r="CZ99" s="33">
        <f t="shared" si="212"/>
        <v>1519497</v>
      </c>
      <c r="DA99" s="34">
        <v>1116</v>
      </c>
      <c r="DB99" s="33">
        <v>1422.75</v>
      </c>
      <c r="DC99" s="33">
        <v>1587789</v>
      </c>
      <c r="DD99" s="33"/>
      <c r="DE99" s="33"/>
      <c r="DF99" s="66"/>
    </row>
    <row r="100" spans="1:110" s="25" customFormat="1" ht="24.95" customHeight="1">
      <c r="A100" s="46" t="s">
        <v>31</v>
      </c>
      <c r="B100" s="47"/>
      <c r="C100" s="78"/>
      <c r="D100" s="79"/>
      <c r="E100" s="80"/>
      <c r="F100" s="51"/>
      <c r="G100" s="90"/>
      <c r="H100" s="52"/>
      <c r="I100" s="52"/>
      <c r="J100" s="53"/>
      <c r="K100" s="53"/>
      <c r="L100" s="53"/>
      <c r="M100" s="55"/>
      <c r="N100" s="53"/>
      <c r="O100" s="53"/>
      <c r="P100" s="55"/>
      <c r="Q100" s="55"/>
      <c r="R100" s="53"/>
      <c r="S100" s="56"/>
      <c r="T100" s="55"/>
      <c r="U100" s="55"/>
      <c r="V100" s="55"/>
      <c r="W100" s="55"/>
      <c r="X100" s="55"/>
      <c r="Y100" s="55"/>
      <c r="Z100" s="55"/>
      <c r="AA100" s="53"/>
      <c r="AB100" s="55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53"/>
      <c r="CW100" s="53"/>
      <c r="CX100" s="53"/>
      <c r="CY100" s="53"/>
      <c r="CZ100" s="53"/>
      <c r="DA100" s="53"/>
      <c r="DB100" s="53"/>
      <c r="DC100" s="53"/>
      <c r="DD100" s="53"/>
      <c r="DE100" s="53"/>
      <c r="DF100" s="57"/>
    </row>
    <row r="101" spans="1:110" s="25" customFormat="1" ht="24.95" customHeight="1">
      <c r="A101" s="46" t="s">
        <v>32</v>
      </c>
      <c r="B101" s="47"/>
      <c r="C101" s="78"/>
      <c r="D101" s="79"/>
      <c r="E101" s="80"/>
      <c r="F101" s="51"/>
      <c r="G101" s="81">
        <f>SUM(G102:G159)</f>
        <v>1155</v>
      </c>
      <c r="H101" s="53"/>
      <c r="I101" s="81">
        <f>SUM(I102:I159)</f>
        <v>3414046.629512459</v>
      </c>
      <c r="J101" s="81">
        <f>SUM(J102:J159)</f>
        <v>480</v>
      </c>
      <c r="K101" s="53"/>
      <c r="L101" s="81">
        <f>SUM(L102:L159)</f>
        <v>1907873.7</v>
      </c>
      <c r="M101" s="81">
        <f>SUM(M102:M159)</f>
        <v>900</v>
      </c>
      <c r="N101" s="53"/>
      <c r="O101" s="81">
        <f>SUM(O102:O159)</f>
        <v>2865262.8538088249</v>
      </c>
      <c r="P101" s="81">
        <f>SUM(P102:P159)</f>
        <v>735</v>
      </c>
      <c r="Q101" s="54"/>
      <c r="R101" s="81">
        <f>SUM(R102:R159)</f>
        <v>2456657.4757036348</v>
      </c>
      <c r="S101" s="56"/>
      <c r="T101" s="55">
        <v>15524</v>
      </c>
      <c r="U101" s="55">
        <v>3399.6079522030404</v>
      </c>
      <c r="V101" s="55">
        <v>52775513.850000001</v>
      </c>
      <c r="W101" s="55">
        <v>15719</v>
      </c>
      <c r="X101" s="55">
        <v>3392.3913867714164</v>
      </c>
      <c r="Y101" s="55">
        <v>53325000.208659895</v>
      </c>
      <c r="Z101" s="81">
        <f>SUM(Z102:Z159)</f>
        <v>1010</v>
      </c>
      <c r="AA101" s="53"/>
      <c r="AB101" s="81">
        <f>SUM(AB102:AB159)</f>
        <v>2353966.1808271864</v>
      </c>
      <c r="AC101" s="81">
        <f>SUM(AC102:AC159)</f>
        <v>930</v>
      </c>
      <c r="AD101" s="54"/>
      <c r="AE101" s="81">
        <f>SUM(AE102:AE159)</f>
        <v>3006143.8343635318</v>
      </c>
      <c r="AF101" s="81">
        <f>SUM(AF102:AF159)</f>
        <v>15524</v>
      </c>
      <c r="AG101" s="52">
        <f>IFERROR(AH101/AF101,0)</f>
        <v>3399.6079522030404</v>
      </c>
      <c r="AH101" s="81">
        <f>SUM(AH102:AH159)</f>
        <v>52775513.850000001</v>
      </c>
      <c r="AI101" s="81"/>
      <c r="AJ101" s="81"/>
      <c r="AK101" s="81">
        <f t="shared" ref="AK101:BR101" si="217">SUM(AK102:AK159)</f>
        <v>5381951.0999999996</v>
      </c>
      <c r="AL101" s="81"/>
      <c r="AM101" s="81"/>
      <c r="AN101" s="81">
        <f t="shared" si="217"/>
        <v>0</v>
      </c>
      <c r="AO101" s="81"/>
      <c r="AP101" s="81"/>
      <c r="AQ101" s="81">
        <f t="shared" si="217"/>
        <v>3998499.9</v>
      </c>
      <c r="AR101" s="81"/>
      <c r="AS101" s="81"/>
      <c r="AT101" s="81">
        <f t="shared" si="217"/>
        <v>5501994.9000000004</v>
      </c>
      <c r="AU101" s="81"/>
      <c r="AV101" s="81"/>
      <c r="AW101" s="81">
        <f t="shared" si="217"/>
        <v>23051561.850000001</v>
      </c>
      <c r="AX101" s="81"/>
      <c r="AY101" s="81"/>
      <c r="AZ101" s="81">
        <f t="shared" si="217"/>
        <v>2571631.2000000002</v>
      </c>
      <c r="BA101" s="81"/>
      <c r="BB101" s="81"/>
      <c r="BC101" s="81">
        <f t="shared" si="217"/>
        <v>2929786.2</v>
      </c>
      <c r="BD101" s="81"/>
      <c r="BE101" s="81"/>
      <c r="BF101" s="81">
        <f t="shared" si="217"/>
        <v>2737350</v>
      </c>
      <c r="BG101" s="81">
        <v>1500</v>
      </c>
      <c r="BH101" s="81"/>
      <c r="BI101" s="81">
        <v>2805705</v>
      </c>
      <c r="BJ101" s="81"/>
      <c r="BK101" s="81"/>
      <c r="BL101" s="81">
        <f t="shared" si="217"/>
        <v>1889160</v>
      </c>
      <c r="BM101" s="81"/>
      <c r="BN101" s="81"/>
      <c r="BO101" s="81">
        <f t="shared" si="217"/>
        <v>1907873.7</v>
      </c>
      <c r="BP101" s="81"/>
      <c r="BQ101" s="81"/>
      <c r="BR101" s="81">
        <f t="shared" si="217"/>
        <v>0</v>
      </c>
      <c r="BT101" s="81">
        <f>SUM(BT102:BT159)</f>
        <v>15719</v>
      </c>
      <c r="BU101" s="52">
        <f>IFERROR(BV101/BT101,0)</f>
        <v>3392.3913867714164</v>
      </c>
      <c r="BV101" s="81">
        <f>SUM(BV102:BV159)</f>
        <v>53325000.208659895</v>
      </c>
      <c r="BW101" s="53"/>
      <c r="BX101" s="53"/>
      <c r="BY101" s="81">
        <f>SUM(BY102:BY159)</f>
        <v>3831176.7894077469</v>
      </c>
      <c r="BZ101" s="53"/>
      <c r="CA101" s="53"/>
      <c r="CB101" s="81">
        <f>SUM(CB102:CB159)</f>
        <v>3045452.4226413309</v>
      </c>
      <c r="CC101" s="53"/>
      <c r="CD101" s="53"/>
      <c r="CE101" s="81">
        <f t="shared" ref="CE101" si="218">SUM(CE102:CE159)</f>
        <v>4016282.3448902881</v>
      </c>
      <c r="CF101" s="53"/>
      <c r="CG101" s="53"/>
      <c r="CH101" s="81">
        <f t="shared" ref="CH101" si="219">SUM(CH102:CH159)</f>
        <v>2679188.0820393143</v>
      </c>
      <c r="CI101" s="53"/>
      <c r="CJ101" s="53"/>
      <c r="CK101" s="81">
        <f t="shared" ref="CK101" si="220">SUM(CK102:CK159)</f>
        <v>22914598.971542865</v>
      </c>
      <c r="CL101" s="53"/>
      <c r="CM101" s="53"/>
      <c r="CN101" s="81">
        <f t="shared" ref="CN101" si="221">SUM(CN102:CN159)</f>
        <v>3055008.5713207088</v>
      </c>
      <c r="CO101" s="53"/>
      <c r="CP101" s="53"/>
      <c r="CQ101" s="81">
        <f>SUM(CQ102:CQ159)</f>
        <v>3125373.4489680473</v>
      </c>
      <c r="CR101" s="53"/>
      <c r="CS101" s="53"/>
      <c r="CT101" s="81">
        <f t="shared" ref="CT101" si="222">SUM(CT102:CT159)</f>
        <v>2521858.8191723619</v>
      </c>
      <c r="CU101" s="53">
        <v>1546</v>
      </c>
      <c r="CV101" s="53"/>
      <c r="CW101" s="81">
        <v>2517972.983146762</v>
      </c>
      <c r="CX101" s="81">
        <f>SUM(CX102:CX159)</f>
        <v>1532</v>
      </c>
      <c r="CY101" s="53"/>
      <c r="CZ101" s="81">
        <f t="shared" ref="CZ101" si="223">SUM(CZ102:CZ159)</f>
        <v>2752824.921721647</v>
      </c>
      <c r="DA101" s="53"/>
      <c r="DB101" s="53"/>
      <c r="DC101" s="81">
        <f t="shared" ref="DC101" si="224">SUM(DC102:DC159)</f>
        <v>2865262.8538088249</v>
      </c>
      <c r="DD101" s="53"/>
      <c r="DE101" s="53"/>
      <c r="DF101" s="82">
        <f t="shared" ref="DF101" si="225">SUM(DF102:DF159)</f>
        <v>0</v>
      </c>
    </row>
    <row r="102" spans="1:110" ht="24.95" customHeight="1">
      <c r="A102" s="89">
        <v>78</v>
      </c>
      <c r="B102" s="74" t="s">
        <v>216</v>
      </c>
      <c r="C102" s="60"/>
      <c r="D102" s="75" t="s">
        <v>245</v>
      </c>
      <c r="E102" s="70" t="s">
        <v>293</v>
      </c>
      <c r="F102" s="60" t="s">
        <v>253</v>
      </c>
      <c r="G102" s="64">
        <v>8</v>
      </c>
      <c r="H102" s="76">
        <v>1890.0000000155114</v>
      </c>
      <c r="I102" s="76">
        <v>15120.000000124091</v>
      </c>
      <c r="J102" s="33"/>
      <c r="K102" s="33">
        <v>0</v>
      </c>
      <c r="L102" s="33">
        <f t="shared" ref="L102:L124" si="226">J102*K102</f>
        <v>0</v>
      </c>
      <c r="M102" s="34">
        <v>8</v>
      </c>
      <c r="N102" s="33">
        <f t="shared" ref="N102:N133" si="227">IFERROR((G102*H102+J102*K102)/(G102+J102),0)</f>
        <v>1890.0000000155114</v>
      </c>
      <c r="O102" s="33">
        <f t="shared" ref="O102:O165" si="228">M102*N102</f>
        <v>15120.000000124091</v>
      </c>
      <c r="P102" s="137">
        <f>G102+J102-M102</f>
        <v>0</v>
      </c>
      <c r="Q102" s="34">
        <f>N102</f>
        <v>1890.0000000155114</v>
      </c>
      <c r="R102" s="33">
        <f>P102*Q102</f>
        <v>0</v>
      </c>
      <c r="S102" s="36">
        <v>46904</v>
      </c>
      <c r="T102" s="34">
        <v>230</v>
      </c>
      <c r="U102" s="34">
        <v>1890</v>
      </c>
      <c r="V102" s="34">
        <v>434700</v>
      </c>
      <c r="W102" s="34">
        <v>260</v>
      </c>
      <c r="X102" s="34">
        <v>1890.0000032814303</v>
      </c>
      <c r="Y102" s="34">
        <v>491400.00085317186</v>
      </c>
      <c r="Z102" s="34">
        <v>30</v>
      </c>
      <c r="AA102" s="33">
        <v>1890.0000000155114</v>
      </c>
      <c r="AB102" s="34">
        <f t="shared" ref="AB102:AB159" si="229">Z102*AA102</f>
        <v>56700.000000465341</v>
      </c>
      <c r="AC102" s="33">
        <v>30</v>
      </c>
      <c r="AD102" s="33">
        <v>1890.0000284390621</v>
      </c>
      <c r="AE102" s="33">
        <v>56700.000853171863</v>
      </c>
      <c r="AF102" s="65">
        <f t="shared" ref="AF102:AF159" si="230">SUMIF($AI$6:$BR$6,$AF$6,AI102:BR102)</f>
        <v>230</v>
      </c>
      <c r="AG102" s="33">
        <f t="shared" ref="AG102:AG159" si="231">IFERROR(AH102/AF102,0)</f>
        <v>1890</v>
      </c>
      <c r="AH102" s="65">
        <f t="shared" ref="AH102:AH165" si="232">SUMIF($AI$6:$BR$6,$AH$6,AI102:BR102)</f>
        <v>434700</v>
      </c>
      <c r="AI102" s="33">
        <v>40</v>
      </c>
      <c r="AJ102" s="33">
        <v>1890</v>
      </c>
      <c r="AK102" s="33">
        <v>75600</v>
      </c>
      <c r="AL102" s="33"/>
      <c r="AM102" s="33"/>
      <c r="AN102" s="33"/>
      <c r="AO102" s="33">
        <v>40</v>
      </c>
      <c r="AP102" s="33">
        <v>1890</v>
      </c>
      <c r="AQ102" s="33">
        <v>75600</v>
      </c>
      <c r="AR102" s="33">
        <v>50</v>
      </c>
      <c r="AS102" s="33">
        <v>1890</v>
      </c>
      <c r="AT102" s="33">
        <v>94500</v>
      </c>
      <c r="AU102" s="33">
        <v>20</v>
      </c>
      <c r="AV102" s="33">
        <v>1890</v>
      </c>
      <c r="AW102" s="33">
        <v>37800</v>
      </c>
      <c r="AX102" s="33">
        <v>20</v>
      </c>
      <c r="AY102" s="33">
        <v>1890</v>
      </c>
      <c r="AZ102" s="33">
        <v>37800</v>
      </c>
      <c r="BA102" s="33">
        <v>20</v>
      </c>
      <c r="BB102" s="33">
        <v>1890</v>
      </c>
      <c r="BC102" s="33">
        <v>37800</v>
      </c>
      <c r="BD102" s="33">
        <v>20</v>
      </c>
      <c r="BE102" s="33">
        <v>1890</v>
      </c>
      <c r="BF102" s="33">
        <v>37800</v>
      </c>
      <c r="BG102" s="33">
        <v>20</v>
      </c>
      <c r="BH102" s="33">
        <v>1890</v>
      </c>
      <c r="BI102" s="33">
        <v>37800</v>
      </c>
      <c r="BJ102" s="33"/>
      <c r="BK102" s="33">
        <v>0</v>
      </c>
      <c r="BL102" s="33">
        <v>0</v>
      </c>
      <c r="BM102" s="33"/>
      <c r="BN102" s="33">
        <v>0</v>
      </c>
      <c r="BO102" s="33">
        <v>0</v>
      </c>
      <c r="BP102" s="33"/>
      <c r="BQ102" s="33"/>
      <c r="BR102" s="33"/>
      <c r="BT102" s="65">
        <f t="shared" ref="BT102:BT159" si="233">SUMIF($BW$6:$DF$6,$BT$6,BW102:DF102)</f>
        <v>260</v>
      </c>
      <c r="BU102" s="33">
        <f t="shared" ref="BU102:BU159" si="234">IFERROR(BV102/BT102,0)</f>
        <v>1890.0000032814303</v>
      </c>
      <c r="BV102" s="65">
        <f t="shared" ref="BV102:BV165" si="235">SUMIF($BW$6:$DF$6,$BV$6,BW102:DF102)</f>
        <v>491400.00085317186</v>
      </c>
      <c r="BW102" s="33">
        <v>38</v>
      </c>
      <c r="BX102" s="33">
        <v>1890.0000121881694</v>
      </c>
      <c r="BY102" s="33">
        <v>71820.000463150442</v>
      </c>
      <c r="BZ102" s="33">
        <v>28</v>
      </c>
      <c r="CA102" s="33">
        <v>1890.0000121881694</v>
      </c>
      <c r="CB102" s="33">
        <v>52920.000341268744</v>
      </c>
      <c r="CC102" s="33">
        <v>33</v>
      </c>
      <c r="CD102" s="33">
        <v>1890.0000011080153</v>
      </c>
      <c r="CE102" s="33">
        <v>62370.000036564503</v>
      </c>
      <c r="CF102" s="33">
        <v>24</v>
      </c>
      <c r="CG102" s="33">
        <v>1890.000000199806</v>
      </c>
      <c r="CH102" s="33">
        <v>45360.000004795344</v>
      </c>
      <c r="CI102" s="33">
        <v>15</v>
      </c>
      <c r="CJ102" s="33">
        <v>1890.0000001296987</v>
      </c>
      <c r="CK102" s="33">
        <v>28350.000001945482</v>
      </c>
      <c r="CL102" s="33">
        <v>32</v>
      </c>
      <c r="CM102" s="33">
        <v>1890.0000000878604</v>
      </c>
      <c r="CN102" s="33">
        <v>60480.000002811532</v>
      </c>
      <c r="CO102" s="33">
        <v>29</v>
      </c>
      <c r="CP102" s="33">
        <v>1890.0000000527164</v>
      </c>
      <c r="CQ102" s="33">
        <v>54810.000001528773</v>
      </c>
      <c r="CR102" s="33">
        <v>14</v>
      </c>
      <c r="CS102" s="33">
        <v>1890.0000000270013</v>
      </c>
      <c r="CT102" s="33">
        <v>26460.000000378019</v>
      </c>
      <c r="CU102" s="33">
        <v>31</v>
      </c>
      <c r="CV102" s="33">
        <v>1890.0000000155114</v>
      </c>
      <c r="CW102" s="33">
        <v>58590.000000480853</v>
      </c>
      <c r="CX102" s="33">
        <v>8</v>
      </c>
      <c r="CY102" s="33">
        <v>1890.0000000155114</v>
      </c>
      <c r="CZ102" s="33">
        <v>15120.000000124091</v>
      </c>
      <c r="DA102" s="34">
        <v>8</v>
      </c>
      <c r="DB102" s="33">
        <v>1890.0000000155114</v>
      </c>
      <c r="DC102" s="33">
        <v>15120.000000124091</v>
      </c>
      <c r="DD102" s="33"/>
      <c r="DE102" s="33"/>
      <c r="DF102" s="66"/>
    </row>
    <row r="103" spans="1:110" ht="24.95" customHeight="1">
      <c r="A103" s="89">
        <v>79</v>
      </c>
      <c r="B103" s="74" t="s">
        <v>217</v>
      </c>
      <c r="C103" s="60"/>
      <c r="D103" s="75"/>
      <c r="E103" s="70" t="s">
        <v>314</v>
      </c>
      <c r="F103" s="60" t="s">
        <v>253</v>
      </c>
      <c r="G103" s="64">
        <v>389</v>
      </c>
      <c r="H103" s="76">
        <v>1995</v>
      </c>
      <c r="I103" s="76">
        <v>776055</v>
      </c>
      <c r="J103" s="33"/>
      <c r="K103" s="33">
        <v>0</v>
      </c>
      <c r="L103" s="33">
        <f t="shared" si="226"/>
        <v>0</v>
      </c>
      <c r="M103" s="34">
        <v>86</v>
      </c>
      <c r="N103" s="33">
        <f t="shared" si="227"/>
        <v>1995</v>
      </c>
      <c r="O103" s="33">
        <f t="shared" si="228"/>
        <v>171570</v>
      </c>
      <c r="P103" s="137">
        <f t="shared" ref="P103:P159" si="236">G103+J103-M103</f>
        <v>303</v>
      </c>
      <c r="Q103" s="34">
        <f t="shared" ref="Q103:Q129" si="237">N103</f>
        <v>1995</v>
      </c>
      <c r="R103" s="33">
        <f t="shared" ref="R103:R124" si="238">P103*Q103</f>
        <v>604485</v>
      </c>
      <c r="S103" s="36"/>
      <c r="T103" s="34">
        <v>1098</v>
      </c>
      <c r="U103" s="34">
        <v>1995</v>
      </c>
      <c r="V103" s="34">
        <v>2190510</v>
      </c>
      <c r="W103" s="34">
        <v>825</v>
      </c>
      <c r="X103" s="34">
        <v>1995</v>
      </c>
      <c r="Y103" s="34">
        <v>1645875</v>
      </c>
      <c r="Z103" s="34"/>
      <c r="AA103" s="33">
        <v>1995</v>
      </c>
      <c r="AB103" s="34">
        <f t="shared" si="229"/>
        <v>0</v>
      </c>
      <c r="AC103" s="33">
        <v>30</v>
      </c>
      <c r="AD103" s="33">
        <v>1995</v>
      </c>
      <c r="AE103" s="33">
        <v>59850</v>
      </c>
      <c r="AF103" s="65">
        <f t="shared" si="230"/>
        <v>1098</v>
      </c>
      <c r="AG103" s="33">
        <f t="shared" si="231"/>
        <v>1995</v>
      </c>
      <c r="AH103" s="65">
        <f t="shared" si="232"/>
        <v>2190510</v>
      </c>
      <c r="AI103" s="33">
        <v>50</v>
      </c>
      <c r="AJ103" s="33">
        <v>1995</v>
      </c>
      <c r="AK103" s="33">
        <v>99750</v>
      </c>
      <c r="AL103" s="33"/>
      <c r="AM103" s="33"/>
      <c r="AN103" s="33"/>
      <c r="AO103" s="33">
        <v>50</v>
      </c>
      <c r="AP103" s="33">
        <v>1995</v>
      </c>
      <c r="AQ103" s="33">
        <v>99750</v>
      </c>
      <c r="AR103" s="33">
        <v>700</v>
      </c>
      <c r="AS103" s="33">
        <v>1995</v>
      </c>
      <c r="AT103" s="33">
        <v>1396500</v>
      </c>
      <c r="AU103" s="33">
        <v>48</v>
      </c>
      <c r="AV103" s="33">
        <v>1995</v>
      </c>
      <c r="AW103" s="33">
        <v>95760</v>
      </c>
      <c r="AX103" s="33">
        <v>50</v>
      </c>
      <c r="AY103" s="33">
        <v>1995</v>
      </c>
      <c r="AZ103" s="33">
        <v>99750</v>
      </c>
      <c r="BA103" s="33">
        <v>50</v>
      </c>
      <c r="BB103" s="33">
        <v>1995</v>
      </c>
      <c r="BC103" s="33">
        <v>99750</v>
      </c>
      <c r="BD103" s="33">
        <v>50</v>
      </c>
      <c r="BE103" s="33">
        <v>1995</v>
      </c>
      <c r="BF103" s="33">
        <v>99750</v>
      </c>
      <c r="BG103" s="33">
        <v>50</v>
      </c>
      <c r="BH103" s="33">
        <v>1995</v>
      </c>
      <c r="BI103" s="33">
        <v>99750</v>
      </c>
      <c r="BJ103" s="33">
        <v>50</v>
      </c>
      <c r="BK103" s="33">
        <v>1995</v>
      </c>
      <c r="BL103" s="33">
        <v>99750</v>
      </c>
      <c r="BM103" s="33"/>
      <c r="BN103" s="33">
        <v>0</v>
      </c>
      <c r="BO103" s="33">
        <v>0</v>
      </c>
      <c r="BP103" s="33"/>
      <c r="BQ103" s="33"/>
      <c r="BR103" s="33"/>
      <c r="BT103" s="65">
        <f t="shared" si="233"/>
        <v>825</v>
      </c>
      <c r="BU103" s="33">
        <f t="shared" si="234"/>
        <v>1995</v>
      </c>
      <c r="BV103" s="65">
        <f t="shared" si="235"/>
        <v>1645875</v>
      </c>
      <c r="BW103" s="33">
        <v>32</v>
      </c>
      <c r="BX103" s="33">
        <v>1995</v>
      </c>
      <c r="BY103" s="33">
        <v>63840</v>
      </c>
      <c r="BZ103" s="33">
        <v>25</v>
      </c>
      <c r="CA103" s="33">
        <v>1995</v>
      </c>
      <c r="CB103" s="33">
        <v>49875</v>
      </c>
      <c r="CC103" s="33">
        <v>45</v>
      </c>
      <c r="CD103" s="33">
        <v>1995</v>
      </c>
      <c r="CE103" s="33">
        <v>89775</v>
      </c>
      <c r="CF103" s="33">
        <v>71</v>
      </c>
      <c r="CG103" s="33">
        <v>1995</v>
      </c>
      <c r="CH103" s="33">
        <v>141645</v>
      </c>
      <c r="CI103" s="33">
        <v>68</v>
      </c>
      <c r="CJ103" s="33">
        <v>1995</v>
      </c>
      <c r="CK103" s="33">
        <v>135660</v>
      </c>
      <c r="CL103" s="33">
        <v>63</v>
      </c>
      <c r="CM103" s="33">
        <v>1995</v>
      </c>
      <c r="CN103" s="33">
        <v>125685</v>
      </c>
      <c r="CO103" s="33">
        <v>154</v>
      </c>
      <c r="CP103" s="33">
        <v>1995</v>
      </c>
      <c r="CQ103" s="33">
        <v>307230</v>
      </c>
      <c r="CR103" s="33">
        <v>165</v>
      </c>
      <c r="CS103" s="33">
        <v>1995</v>
      </c>
      <c r="CT103" s="33">
        <v>329175</v>
      </c>
      <c r="CU103" s="33">
        <v>52</v>
      </c>
      <c r="CV103" s="33">
        <v>1995</v>
      </c>
      <c r="CW103" s="33">
        <v>103740</v>
      </c>
      <c r="CX103" s="33">
        <v>64</v>
      </c>
      <c r="CY103" s="33">
        <v>1995</v>
      </c>
      <c r="CZ103" s="33">
        <v>127680</v>
      </c>
      <c r="DA103" s="34">
        <v>86</v>
      </c>
      <c r="DB103" s="33">
        <v>1995</v>
      </c>
      <c r="DC103" s="33">
        <v>171570</v>
      </c>
      <c r="DD103" s="33"/>
      <c r="DE103" s="33"/>
      <c r="DF103" s="66"/>
    </row>
    <row r="104" spans="1:110" ht="24.95" customHeight="1">
      <c r="A104" s="89">
        <v>80</v>
      </c>
      <c r="B104" s="74" t="s">
        <v>235</v>
      </c>
      <c r="C104" s="60"/>
      <c r="D104" s="75" t="s">
        <v>237</v>
      </c>
      <c r="E104" s="70" t="s">
        <v>315</v>
      </c>
      <c r="F104" s="60" t="s">
        <v>253</v>
      </c>
      <c r="G104" s="64">
        <v>26</v>
      </c>
      <c r="H104" s="76">
        <v>29925</v>
      </c>
      <c r="I104" s="76">
        <v>778050</v>
      </c>
      <c r="J104" s="33">
        <v>10</v>
      </c>
      <c r="K104" s="33">
        <v>29925</v>
      </c>
      <c r="L104" s="33">
        <f t="shared" si="226"/>
        <v>299250</v>
      </c>
      <c r="M104" s="34">
        <v>18</v>
      </c>
      <c r="N104" s="33">
        <f t="shared" si="227"/>
        <v>29925</v>
      </c>
      <c r="O104" s="33">
        <f t="shared" si="228"/>
        <v>538650</v>
      </c>
      <c r="P104" s="137">
        <f t="shared" si="236"/>
        <v>18</v>
      </c>
      <c r="Q104" s="34">
        <f t="shared" si="237"/>
        <v>29925</v>
      </c>
      <c r="R104" s="33">
        <f t="shared" si="238"/>
        <v>538650</v>
      </c>
      <c r="S104" s="36">
        <v>47269</v>
      </c>
      <c r="T104" s="34">
        <v>190</v>
      </c>
      <c r="U104" s="34">
        <v>29925</v>
      </c>
      <c r="V104" s="34">
        <v>5685750</v>
      </c>
      <c r="W104" s="34">
        <v>190</v>
      </c>
      <c r="X104" s="34">
        <v>29925</v>
      </c>
      <c r="Y104" s="34">
        <v>5685750</v>
      </c>
      <c r="Z104" s="34">
        <v>10</v>
      </c>
      <c r="AA104" s="33">
        <v>29925</v>
      </c>
      <c r="AB104" s="34">
        <f t="shared" si="229"/>
        <v>299250</v>
      </c>
      <c r="AC104" s="33">
        <v>18</v>
      </c>
      <c r="AD104" s="33">
        <v>29925</v>
      </c>
      <c r="AE104" s="33">
        <v>538650</v>
      </c>
      <c r="AF104" s="65">
        <f t="shared" si="230"/>
        <v>190</v>
      </c>
      <c r="AG104" s="33">
        <f t="shared" si="231"/>
        <v>29925</v>
      </c>
      <c r="AH104" s="65">
        <f t="shared" si="232"/>
        <v>5685750</v>
      </c>
      <c r="AI104" s="33">
        <v>25</v>
      </c>
      <c r="AJ104" s="33">
        <v>29925</v>
      </c>
      <c r="AK104" s="33">
        <v>748125</v>
      </c>
      <c r="AL104" s="33"/>
      <c r="AM104" s="33"/>
      <c r="AN104" s="33"/>
      <c r="AO104" s="33">
        <v>30</v>
      </c>
      <c r="AP104" s="33">
        <v>29925</v>
      </c>
      <c r="AQ104" s="33">
        <v>897750</v>
      </c>
      <c r="AR104" s="33">
        <v>20</v>
      </c>
      <c r="AS104" s="33">
        <v>29925</v>
      </c>
      <c r="AT104" s="33">
        <v>598500</v>
      </c>
      <c r="AU104" s="33">
        <v>15</v>
      </c>
      <c r="AV104" s="33">
        <v>29925</v>
      </c>
      <c r="AW104" s="33">
        <v>448875</v>
      </c>
      <c r="AX104" s="33">
        <v>20</v>
      </c>
      <c r="AY104" s="33">
        <v>29925</v>
      </c>
      <c r="AZ104" s="33">
        <v>598500</v>
      </c>
      <c r="BA104" s="33">
        <v>30</v>
      </c>
      <c r="BB104" s="33">
        <v>29925</v>
      </c>
      <c r="BC104" s="33">
        <v>897750</v>
      </c>
      <c r="BD104" s="33">
        <v>20</v>
      </c>
      <c r="BE104" s="33">
        <v>29925</v>
      </c>
      <c r="BF104" s="33">
        <v>598500</v>
      </c>
      <c r="BG104" s="33">
        <v>20</v>
      </c>
      <c r="BH104" s="33">
        <v>29925</v>
      </c>
      <c r="BI104" s="33">
        <v>598500</v>
      </c>
      <c r="BJ104" s="33"/>
      <c r="BK104" s="33">
        <v>0</v>
      </c>
      <c r="BL104" s="33">
        <v>0</v>
      </c>
      <c r="BM104" s="33">
        <v>10</v>
      </c>
      <c r="BN104" s="33">
        <v>29925</v>
      </c>
      <c r="BO104" s="33">
        <v>299250</v>
      </c>
      <c r="BP104" s="33"/>
      <c r="BQ104" s="33"/>
      <c r="BR104" s="33"/>
      <c r="BT104" s="65">
        <f t="shared" si="233"/>
        <v>190</v>
      </c>
      <c r="BU104" s="33">
        <f t="shared" si="234"/>
        <v>29925</v>
      </c>
      <c r="BV104" s="65">
        <f t="shared" si="235"/>
        <v>5685750</v>
      </c>
      <c r="BW104" s="33">
        <v>11</v>
      </c>
      <c r="BX104" s="33">
        <v>29925</v>
      </c>
      <c r="BY104" s="33">
        <v>329175</v>
      </c>
      <c r="BZ104" s="33">
        <v>15</v>
      </c>
      <c r="CA104" s="33">
        <v>29925</v>
      </c>
      <c r="CB104" s="33">
        <v>448875</v>
      </c>
      <c r="CC104" s="33">
        <v>30</v>
      </c>
      <c r="CD104" s="33">
        <v>29925</v>
      </c>
      <c r="CE104" s="33">
        <v>897750</v>
      </c>
      <c r="CF104" s="33">
        <v>13</v>
      </c>
      <c r="CG104" s="33">
        <v>29925</v>
      </c>
      <c r="CH104" s="33">
        <v>389025</v>
      </c>
      <c r="CI104" s="33">
        <v>16</v>
      </c>
      <c r="CJ104" s="33">
        <v>29925</v>
      </c>
      <c r="CK104" s="33">
        <v>478800</v>
      </c>
      <c r="CL104" s="33">
        <v>23</v>
      </c>
      <c r="CM104" s="33">
        <v>29925</v>
      </c>
      <c r="CN104" s="33">
        <v>688275</v>
      </c>
      <c r="CO104" s="33">
        <v>16</v>
      </c>
      <c r="CP104" s="33">
        <v>29925</v>
      </c>
      <c r="CQ104" s="33">
        <v>478800</v>
      </c>
      <c r="CR104" s="33">
        <v>16</v>
      </c>
      <c r="CS104" s="33">
        <v>29925</v>
      </c>
      <c r="CT104" s="33">
        <v>478800</v>
      </c>
      <c r="CU104" s="33">
        <v>17</v>
      </c>
      <c r="CV104" s="33">
        <v>29925</v>
      </c>
      <c r="CW104" s="33">
        <v>508725</v>
      </c>
      <c r="CX104" s="33">
        <v>15</v>
      </c>
      <c r="CY104" s="33">
        <v>29925</v>
      </c>
      <c r="CZ104" s="33">
        <v>448875</v>
      </c>
      <c r="DA104" s="34">
        <v>18</v>
      </c>
      <c r="DB104" s="33">
        <v>29925</v>
      </c>
      <c r="DC104" s="33">
        <v>538650</v>
      </c>
      <c r="DD104" s="33"/>
      <c r="DE104" s="33"/>
      <c r="DF104" s="66"/>
    </row>
    <row r="105" spans="1:110" ht="24.95" customHeight="1">
      <c r="A105" s="89">
        <v>81</v>
      </c>
      <c r="B105" s="74" t="s">
        <v>236</v>
      </c>
      <c r="C105" s="60"/>
      <c r="D105" s="75" t="s">
        <v>238</v>
      </c>
      <c r="E105" s="70"/>
      <c r="F105" s="60" t="s">
        <v>253</v>
      </c>
      <c r="G105" s="64">
        <v>0</v>
      </c>
      <c r="H105" s="76">
        <v>0</v>
      </c>
      <c r="I105" s="76">
        <v>0</v>
      </c>
      <c r="J105" s="33"/>
      <c r="K105" s="33">
        <v>0</v>
      </c>
      <c r="L105" s="33">
        <f t="shared" si="226"/>
        <v>0</v>
      </c>
      <c r="M105" s="34"/>
      <c r="N105" s="33">
        <f t="shared" si="227"/>
        <v>0</v>
      </c>
      <c r="O105" s="33">
        <f t="shared" si="228"/>
        <v>0</v>
      </c>
      <c r="P105" s="137">
        <f t="shared" si="236"/>
        <v>0</v>
      </c>
      <c r="Q105" s="34">
        <f t="shared" si="237"/>
        <v>0</v>
      </c>
      <c r="R105" s="33">
        <f t="shared" si="238"/>
        <v>0</v>
      </c>
      <c r="S105" s="36">
        <v>46783</v>
      </c>
      <c r="T105" s="34">
        <v>0</v>
      </c>
      <c r="U105" s="34">
        <v>0</v>
      </c>
      <c r="V105" s="34">
        <v>0</v>
      </c>
      <c r="W105" s="34">
        <v>8</v>
      </c>
      <c r="X105" s="34">
        <v>20286</v>
      </c>
      <c r="Y105" s="34">
        <v>162288</v>
      </c>
      <c r="Z105" s="34"/>
      <c r="AA105" s="33">
        <v>0</v>
      </c>
      <c r="AB105" s="34">
        <f t="shared" si="229"/>
        <v>0</v>
      </c>
      <c r="AC105" s="33">
        <v>8</v>
      </c>
      <c r="AD105" s="33">
        <v>20286</v>
      </c>
      <c r="AE105" s="33">
        <v>162288</v>
      </c>
      <c r="AF105" s="65">
        <f t="shared" si="230"/>
        <v>0</v>
      </c>
      <c r="AG105" s="33">
        <f t="shared" si="231"/>
        <v>0</v>
      </c>
      <c r="AH105" s="65">
        <f t="shared" si="232"/>
        <v>0</v>
      </c>
      <c r="AI105" s="33"/>
      <c r="AJ105" s="33">
        <v>0</v>
      </c>
      <c r="AK105" s="33">
        <v>0</v>
      </c>
      <c r="AL105" s="33"/>
      <c r="AM105" s="33"/>
      <c r="AN105" s="33"/>
      <c r="AO105" s="33"/>
      <c r="AP105" s="33"/>
      <c r="AQ105" s="33"/>
      <c r="AR105" s="33"/>
      <c r="AS105" s="33">
        <v>0</v>
      </c>
      <c r="AT105" s="33">
        <v>0</v>
      </c>
      <c r="AU105" s="33"/>
      <c r="AV105" s="33">
        <v>0</v>
      </c>
      <c r="AW105" s="33">
        <v>0</v>
      </c>
      <c r="AX105" s="33"/>
      <c r="AY105" s="33">
        <v>0</v>
      </c>
      <c r="AZ105" s="33">
        <v>0</v>
      </c>
      <c r="BA105" s="33"/>
      <c r="BB105" s="33">
        <v>0</v>
      </c>
      <c r="BC105" s="33">
        <v>0</v>
      </c>
      <c r="BD105" s="33"/>
      <c r="BE105" s="33"/>
      <c r="BF105" s="33">
        <v>0</v>
      </c>
      <c r="BG105" s="33"/>
      <c r="BH105" s="33"/>
      <c r="BI105" s="33">
        <v>0</v>
      </c>
      <c r="BJ105" s="33"/>
      <c r="BK105" s="33">
        <v>0</v>
      </c>
      <c r="BL105" s="33">
        <v>0</v>
      </c>
      <c r="BM105" s="33"/>
      <c r="BN105" s="33">
        <v>0</v>
      </c>
      <c r="BO105" s="33">
        <v>0</v>
      </c>
      <c r="BP105" s="33"/>
      <c r="BQ105" s="33"/>
      <c r="BR105" s="33"/>
      <c r="BT105" s="65">
        <f t="shared" si="233"/>
        <v>8</v>
      </c>
      <c r="BU105" s="33">
        <f t="shared" si="234"/>
        <v>20286</v>
      </c>
      <c r="BV105" s="65">
        <f t="shared" si="235"/>
        <v>162288</v>
      </c>
      <c r="BW105" s="33">
        <v>8</v>
      </c>
      <c r="BX105" s="33">
        <v>20286</v>
      </c>
      <c r="BY105" s="33">
        <v>162288</v>
      </c>
      <c r="BZ105" s="33"/>
      <c r="CA105" s="33">
        <v>0</v>
      </c>
      <c r="CB105" s="33">
        <v>0</v>
      </c>
      <c r="CC105" s="33"/>
      <c r="CD105" s="33">
        <v>0</v>
      </c>
      <c r="CE105" s="33">
        <v>0</v>
      </c>
      <c r="CF105" s="33"/>
      <c r="CG105" s="33">
        <v>0</v>
      </c>
      <c r="CH105" s="33">
        <v>0</v>
      </c>
      <c r="CI105" s="33"/>
      <c r="CJ105" s="33">
        <v>0</v>
      </c>
      <c r="CK105" s="33">
        <v>0</v>
      </c>
      <c r="CL105" s="33"/>
      <c r="CM105" s="33">
        <v>0</v>
      </c>
      <c r="CN105" s="33">
        <v>0</v>
      </c>
      <c r="CO105" s="33"/>
      <c r="CP105" s="33">
        <v>0</v>
      </c>
      <c r="CQ105" s="33">
        <v>0</v>
      </c>
      <c r="CR105" s="33"/>
      <c r="CS105" s="33">
        <v>0</v>
      </c>
      <c r="CT105" s="33">
        <v>0</v>
      </c>
      <c r="CU105" s="33"/>
      <c r="CV105" s="33">
        <v>0</v>
      </c>
      <c r="CW105" s="33">
        <v>0</v>
      </c>
      <c r="CX105" s="33"/>
      <c r="CY105" s="33">
        <v>0</v>
      </c>
      <c r="CZ105" s="33">
        <v>0</v>
      </c>
      <c r="DA105" s="34"/>
      <c r="DB105" s="33">
        <v>0</v>
      </c>
      <c r="DC105" s="33">
        <v>0</v>
      </c>
      <c r="DD105" s="33"/>
      <c r="DE105" s="33"/>
      <c r="DF105" s="66"/>
    </row>
    <row r="106" spans="1:110" ht="24.95" customHeight="1">
      <c r="A106" s="89">
        <v>82</v>
      </c>
      <c r="B106" s="74" t="s">
        <v>218</v>
      </c>
      <c r="C106" s="60"/>
      <c r="D106" s="75"/>
      <c r="E106" s="70"/>
      <c r="F106" s="60" t="s">
        <v>215</v>
      </c>
      <c r="G106" s="64">
        <v>306</v>
      </c>
      <c r="H106" s="76">
        <v>219.44999988730316</v>
      </c>
      <c r="I106" s="76">
        <v>67151.699965514767</v>
      </c>
      <c r="J106" s="33">
        <v>50</v>
      </c>
      <c r="K106" s="33">
        <v>219.45</v>
      </c>
      <c r="L106" s="33">
        <f t="shared" si="226"/>
        <v>10972.5</v>
      </c>
      <c r="M106" s="34">
        <v>285</v>
      </c>
      <c r="N106" s="33">
        <f t="shared" si="227"/>
        <v>219.44999990313136</v>
      </c>
      <c r="O106" s="33">
        <f t="shared" si="228"/>
        <v>62543.249972392434</v>
      </c>
      <c r="P106" s="137">
        <f t="shared" si="236"/>
        <v>71</v>
      </c>
      <c r="Q106" s="34">
        <f t="shared" si="237"/>
        <v>219.44999990313136</v>
      </c>
      <c r="R106" s="33">
        <f t="shared" si="238"/>
        <v>15580.949993122325</v>
      </c>
      <c r="S106" s="36">
        <v>46721</v>
      </c>
      <c r="T106" s="34">
        <v>6350</v>
      </c>
      <c r="U106" s="34">
        <v>219.45</v>
      </c>
      <c r="V106" s="34">
        <v>1393507.5</v>
      </c>
      <c r="W106" s="34">
        <v>6693</v>
      </c>
      <c r="X106" s="34">
        <v>219.44991247256002</v>
      </c>
      <c r="Y106" s="34">
        <v>1468778.2641788442</v>
      </c>
      <c r="Z106" s="34">
        <v>500</v>
      </c>
      <c r="AA106" s="33">
        <v>219.4499998023131</v>
      </c>
      <c r="AB106" s="34">
        <f t="shared" si="229"/>
        <v>109724.99990115655</v>
      </c>
      <c r="AC106" s="33">
        <v>414</v>
      </c>
      <c r="AD106" s="33">
        <v>219.44858495644152</v>
      </c>
      <c r="AE106" s="33">
        <v>90851.714171966785</v>
      </c>
      <c r="AF106" s="65">
        <f t="shared" si="230"/>
        <v>6350</v>
      </c>
      <c r="AG106" s="33">
        <f t="shared" si="231"/>
        <v>219.45</v>
      </c>
      <c r="AH106" s="65">
        <f t="shared" si="232"/>
        <v>1393507.5</v>
      </c>
      <c r="AI106" s="33">
        <v>900</v>
      </c>
      <c r="AJ106" s="33">
        <v>219.45</v>
      </c>
      <c r="AK106" s="33">
        <v>197505</v>
      </c>
      <c r="AL106" s="33"/>
      <c r="AM106" s="33"/>
      <c r="AN106" s="33"/>
      <c r="AO106" s="33">
        <v>600</v>
      </c>
      <c r="AP106" s="33">
        <v>219.45</v>
      </c>
      <c r="AQ106" s="33">
        <v>131670</v>
      </c>
      <c r="AR106" s="33">
        <v>500</v>
      </c>
      <c r="AS106" s="33">
        <v>219.45</v>
      </c>
      <c r="AT106" s="33">
        <v>109725</v>
      </c>
      <c r="AU106" s="33">
        <v>600</v>
      </c>
      <c r="AV106" s="33">
        <v>219.45</v>
      </c>
      <c r="AW106" s="33">
        <v>131670</v>
      </c>
      <c r="AX106" s="33">
        <v>800</v>
      </c>
      <c r="AY106" s="33">
        <v>219.45</v>
      </c>
      <c r="AZ106" s="33">
        <v>175560</v>
      </c>
      <c r="BA106" s="33">
        <v>800</v>
      </c>
      <c r="BB106" s="33">
        <v>219.45</v>
      </c>
      <c r="BC106" s="33">
        <v>175560</v>
      </c>
      <c r="BD106" s="33">
        <v>800</v>
      </c>
      <c r="BE106" s="33">
        <v>219.45</v>
      </c>
      <c r="BF106" s="33">
        <v>175560</v>
      </c>
      <c r="BG106" s="33">
        <v>800</v>
      </c>
      <c r="BH106" s="33">
        <v>219.45</v>
      </c>
      <c r="BI106" s="33">
        <v>175560</v>
      </c>
      <c r="BJ106" s="33">
        <v>500</v>
      </c>
      <c r="BK106" s="33">
        <v>219.45</v>
      </c>
      <c r="BL106" s="33">
        <v>109725</v>
      </c>
      <c r="BM106" s="33">
        <v>50</v>
      </c>
      <c r="BN106" s="33">
        <v>219.45</v>
      </c>
      <c r="BO106" s="33">
        <v>10972.5</v>
      </c>
      <c r="BP106" s="33"/>
      <c r="BQ106" s="33"/>
      <c r="BR106" s="33"/>
      <c r="BT106" s="65">
        <f t="shared" si="233"/>
        <v>6693</v>
      </c>
      <c r="BU106" s="33">
        <f t="shared" si="234"/>
        <v>219.44991247256002</v>
      </c>
      <c r="BV106" s="65">
        <f t="shared" si="235"/>
        <v>1468778.2641788442</v>
      </c>
      <c r="BW106" s="33">
        <v>642</v>
      </c>
      <c r="BX106" s="33">
        <v>219.44955416435826</v>
      </c>
      <c r="BY106" s="33">
        <v>140886.61377351801</v>
      </c>
      <c r="BZ106" s="33">
        <v>574</v>
      </c>
      <c r="CA106" s="33">
        <v>219.44955416435829</v>
      </c>
      <c r="CB106" s="33">
        <v>125964.04409034166</v>
      </c>
      <c r="CC106" s="33">
        <v>483</v>
      </c>
      <c r="CD106" s="33">
        <v>219.4499374041649</v>
      </c>
      <c r="CE106" s="33">
        <v>105994.31976621164</v>
      </c>
      <c r="CF106" s="33">
        <v>445</v>
      </c>
      <c r="CG106" s="33">
        <v>219.44998117747616</v>
      </c>
      <c r="CH106" s="33">
        <v>97655.241623976894</v>
      </c>
      <c r="CI106" s="33">
        <v>462</v>
      </c>
      <c r="CJ106" s="33">
        <v>219.44999415852709</v>
      </c>
      <c r="CK106" s="33">
        <v>101385.89730123951</v>
      </c>
      <c r="CL106" s="33">
        <v>587</v>
      </c>
      <c r="CM106" s="33">
        <v>219.44999802705217</v>
      </c>
      <c r="CN106" s="33">
        <v>128817.14884187962</v>
      </c>
      <c r="CO106" s="33">
        <v>723</v>
      </c>
      <c r="CP106" s="33">
        <v>219.44999913778989</v>
      </c>
      <c r="CQ106" s="33">
        <v>158662.34937662209</v>
      </c>
      <c r="CR106" s="33">
        <v>723</v>
      </c>
      <c r="CS106" s="33">
        <v>219.44999959824924</v>
      </c>
      <c r="CT106" s="33">
        <v>158662.3497095342</v>
      </c>
      <c r="CU106" s="33">
        <v>912</v>
      </c>
      <c r="CV106" s="33">
        <v>219.4499998023131</v>
      </c>
      <c r="CW106" s="33">
        <v>200138.39981970954</v>
      </c>
      <c r="CX106" s="33">
        <v>857</v>
      </c>
      <c r="CY106" s="33">
        <v>219.44999988730316</v>
      </c>
      <c r="CZ106" s="33">
        <v>188068.64990341882</v>
      </c>
      <c r="DA106" s="34">
        <v>285</v>
      </c>
      <c r="DB106" s="33">
        <v>219.44999990313136</v>
      </c>
      <c r="DC106" s="33">
        <v>62543.249972392434</v>
      </c>
      <c r="DD106" s="33"/>
      <c r="DE106" s="33"/>
      <c r="DF106" s="66"/>
    </row>
    <row r="107" spans="1:110" ht="24.95" customHeight="1">
      <c r="A107" s="89">
        <v>83</v>
      </c>
      <c r="B107" s="74" t="s">
        <v>219</v>
      </c>
      <c r="C107" s="60"/>
      <c r="D107" s="75" t="s">
        <v>239</v>
      </c>
      <c r="E107" s="70" t="s">
        <v>293</v>
      </c>
      <c r="F107" s="60" t="s">
        <v>151</v>
      </c>
      <c r="G107" s="64">
        <v>38</v>
      </c>
      <c r="H107" s="76">
        <v>5733</v>
      </c>
      <c r="I107" s="76">
        <v>217854</v>
      </c>
      <c r="J107" s="33"/>
      <c r="K107" s="33">
        <v>0</v>
      </c>
      <c r="L107" s="33">
        <f t="shared" si="226"/>
        <v>0</v>
      </c>
      <c r="M107" s="34">
        <v>28</v>
      </c>
      <c r="N107" s="33">
        <f t="shared" si="227"/>
        <v>5733</v>
      </c>
      <c r="O107" s="33">
        <f t="shared" si="228"/>
        <v>160524</v>
      </c>
      <c r="P107" s="137">
        <f t="shared" si="236"/>
        <v>10</v>
      </c>
      <c r="Q107" s="34">
        <f t="shared" si="237"/>
        <v>5733</v>
      </c>
      <c r="R107" s="33">
        <f t="shared" si="238"/>
        <v>57330</v>
      </c>
      <c r="S107" s="36">
        <v>46966</v>
      </c>
      <c r="T107" s="34">
        <v>280</v>
      </c>
      <c r="U107" s="34">
        <v>5733</v>
      </c>
      <c r="V107" s="34">
        <v>1605240</v>
      </c>
      <c r="W107" s="34">
        <v>304</v>
      </c>
      <c r="X107" s="34">
        <v>5733</v>
      </c>
      <c r="Y107" s="34">
        <v>1742832</v>
      </c>
      <c r="Z107" s="34">
        <v>50</v>
      </c>
      <c r="AA107" s="33">
        <v>5733</v>
      </c>
      <c r="AB107" s="34">
        <f t="shared" si="229"/>
        <v>286650</v>
      </c>
      <c r="AC107" s="33">
        <v>34</v>
      </c>
      <c r="AD107" s="33">
        <v>5733</v>
      </c>
      <c r="AE107" s="33">
        <v>194922</v>
      </c>
      <c r="AF107" s="65">
        <f t="shared" si="230"/>
        <v>280</v>
      </c>
      <c r="AG107" s="33">
        <f t="shared" si="231"/>
        <v>5733</v>
      </c>
      <c r="AH107" s="65">
        <f t="shared" si="232"/>
        <v>1605240</v>
      </c>
      <c r="AI107" s="33">
        <v>50</v>
      </c>
      <c r="AJ107" s="33">
        <v>5733</v>
      </c>
      <c r="AK107" s="33">
        <v>286650</v>
      </c>
      <c r="AL107" s="33"/>
      <c r="AM107" s="33"/>
      <c r="AN107" s="33"/>
      <c r="AO107" s="33">
        <v>50</v>
      </c>
      <c r="AP107" s="33">
        <v>5733</v>
      </c>
      <c r="AQ107" s="33">
        <v>286650</v>
      </c>
      <c r="AR107" s="33">
        <v>30</v>
      </c>
      <c r="AS107" s="33">
        <v>5733</v>
      </c>
      <c r="AT107" s="33">
        <v>171990</v>
      </c>
      <c r="AU107" s="33">
        <v>20</v>
      </c>
      <c r="AV107" s="33">
        <v>5733</v>
      </c>
      <c r="AW107" s="33">
        <v>114660</v>
      </c>
      <c r="AX107" s="33">
        <v>20</v>
      </c>
      <c r="AY107" s="33">
        <v>5733</v>
      </c>
      <c r="AZ107" s="33">
        <v>114660</v>
      </c>
      <c r="BA107" s="33">
        <v>20</v>
      </c>
      <c r="BB107" s="33">
        <v>5733</v>
      </c>
      <c r="BC107" s="33">
        <v>114660</v>
      </c>
      <c r="BD107" s="33">
        <v>20</v>
      </c>
      <c r="BE107" s="33">
        <v>5733</v>
      </c>
      <c r="BF107" s="33">
        <v>114660</v>
      </c>
      <c r="BG107" s="33">
        <v>20</v>
      </c>
      <c r="BH107" s="33">
        <v>5733</v>
      </c>
      <c r="BI107" s="33">
        <v>114660</v>
      </c>
      <c r="BJ107" s="33">
        <v>50</v>
      </c>
      <c r="BK107" s="33">
        <v>5733</v>
      </c>
      <c r="BL107" s="33">
        <v>286650</v>
      </c>
      <c r="BM107" s="33"/>
      <c r="BN107" s="33">
        <v>0</v>
      </c>
      <c r="BO107" s="33">
        <v>0</v>
      </c>
      <c r="BP107" s="33"/>
      <c r="BQ107" s="33"/>
      <c r="BR107" s="33"/>
      <c r="BT107" s="65">
        <f t="shared" si="233"/>
        <v>304</v>
      </c>
      <c r="BU107" s="33">
        <f t="shared" si="234"/>
        <v>5733</v>
      </c>
      <c r="BV107" s="65">
        <f t="shared" si="235"/>
        <v>1742832</v>
      </c>
      <c r="BW107" s="33">
        <v>41</v>
      </c>
      <c r="BX107" s="33">
        <v>5733</v>
      </c>
      <c r="BY107" s="33">
        <v>235053</v>
      </c>
      <c r="BZ107" s="33">
        <v>27</v>
      </c>
      <c r="CA107" s="33">
        <v>5733</v>
      </c>
      <c r="CB107" s="33">
        <v>154791</v>
      </c>
      <c r="CC107" s="33">
        <v>41</v>
      </c>
      <c r="CD107" s="33">
        <v>5733</v>
      </c>
      <c r="CE107" s="33">
        <v>235053</v>
      </c>
      <c r="CF107" s="33">
        <v>23</v>
      </c>
      <c r="CG107" s="33">
        <v>5733</v>
      </c>
      <c r="CH107" s="33">
        <v>131859</v>
      </c>
      <c r="CI107" s="33">
        <v>22</v>
      </c>
      <c r="CJ107" s="33">
        <v>5733</v>
      </c>
      <c r="CK107" s="33">
        <v>126126</v>
      </c>
      <c r="CL107" s="33">
        <v>26</v>
      </c>
      <c r="CM107" s="33">
        <v>5733</v>
      </c>
      <c r="CN107" s="33">
        <v>149058</v>
      </c>
      <c r="CO107" s="33">
        <v>22</v>
      </c>
      <c r="CP107" s="33">
        <v>5733</v>
      </c>
      <c r="CQ107" s="33">
        <v>126126</v>
      </c>
      <c r="CR107" s="33">
        <v>13</v>
      </c>
      <c r="CS107" s="33">
        <v>5733</v>
      </c>
      <c r="CT107" s="33">
        <v>74529</v>
      </c>
      <c r="CU107" s="33">
        <v>23</v>
      </c>
      <c r="CV107" s="33">
        <v>5733</v>
      </c>
      <c r="CW107" s="33">
        <v>131859</v>
      </c>
      <c r="CX107" s="33">
        <v>38</v>
      </c>
      <c r="CY107" s="33">
        <v>5733</v>
      </c>
      <c r="CZ107" s="33">
        <v>217854</v>
      </c>
      <c r="DA107" s="34">
        <v>28</v>
      </c>
      <c r="DB107" s="33">
        <v>5733</v>
      </c>
      <c r="DC107" s="33">
        <v>160524</v>
      </c>
      <c r="DD107" s="33"/>
      <c r="DE107" s="33"/>
      <c r="DF107" s="66"/>
    </row>
    <row r="108" spans="1:110" ht="24.95" customHeight="1">
      <c r="A108" s="89">
        <v>84</v>
      </c>
      <c r="B108" s="74" t="s">
        <v>220</v>
      </c>
      <c r="C108" s="60"/>
      <c r="D108" s="75" t="s">
        <v>246</v>
      </c>
      <c r="E108" s="70"/>
      <c r="F108" s="60" t="s">
        <v>253</v>
      </c>
      <c r="G108" s="64">
        <v>0</v>
      </c>
      <c r="H108" s="76">
        <v>0</v>
      </c>
      <c r="I108" s="76">
        <v>0</v>
      </c>
      <c r="J108" s="33"/>
      <c r="K108" s="33">
        <v>0</v>
      </c>
      <c r="L108" s="33">
        <f t="shared" si="226"/>
        <v>0</v>
      </c>
      <c r="M108" s="34"/>
      <c r="N108" s="33">
        <f t="shared" si="227"/>
        <v>0</v>
      </c>
      <c r="O108" s="33">
        <f t="shared" si="228"/>
        <v>0</v>
      </c>
      <c r="P108" s="137">
        <f t="shared" si="236"/>
        <v>0</v>
      </c>
      <c r="Q108" s="34">
        <f t="shared" si="237"/>
        <v>0</v>
      </c>
      <c r="R108" s="33">
        <f t="shared" si="238"/>
        <v>0</v>
      </c>
      <c r="S108" s="36">
        <v>47119</v>
      </c>
      <c r="T108" s="34">
        <v>0</v>
      </c>
      <c r="U108" s="34">
        <v>0</v>
      </c>
      <c r="V108" s="34">
        <v>0</v>
      </c>
      <c r="W108" s="34">
        <v>0</v>
      </c>
      <c r="X108" s="34">
        <v>0</v>
      </c>
      <c r="Y108" s="34">
        <v>0</v>
      </c>
      <c r="Z108" s="34"/>
      <c r="AA108" s="33">
        <v>0</v>
      </c>
      <c r="AB108" s="34">
        <f t="shared" si="229"/>
        <v>0</v>
      </c>
      <c r="AC108" s="33"/>
      <c r="AD108" s="33"/>
      <c r="AE108" s="33"/>
      <c r="AF108" s="65">
        <f t="shared" si="230"/>
        <v>0</v>
      </c>
      <c r="AG108" s="33">
        <f t="shared" si="231"/>
        <v>0</v>
      </c>
      <c r="AH108" s="65">
        <f t="shared" si="232"/>
        <v>0</v>
      </c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>
        <v>0</v>
      </c>
      <c r="BJ108" s="33"/>
      <c r="BK108" s="33">
        <v>0</v>
      </c>
      <c r="BL108" s="33">
        <v>0</v>
      </c>
      <c r="BM108" s="33"/>
      <c r="BN108" s="33">
        <v>0</v>
      </c>
      <c r="BO108" s="33">
        <v>0</v>
      </c>
      <c r="BP108" s="33"/>
      <c r="BQ108" s="33"/>
      <c r="BR108" s="33"/>
      <c r="BT108" s="65">
        <f t="shared" si="233"/>
        <v>0</v>
      </c>
      <c r="BU108" s="33">
        <f t="shared" si="234"/>
        <v>0</v>
      </c>
      <c r="BV108" s="65">
        <f t="shared" si="235"/>
        <v>0</v>
      </c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>
        <v>0</v>
      </c>
      <c r="CW108" s="33">
        <v>0</v>
      </c>
      <c r="CX108" s="33"/>
      <c r="CY108" s="33">
        <v>0</v>
      </c>
      <c r="CZ108" s="33">
        <v>0</v>
      </c>
      <c r="DA108" s="34"/>
      <c r="DB108" s="33">
        <v>0</v>
      </c>
      <c r="DC108" s="33">
        <v>0</v>
      </c>
      <c r="DD108" s="33"/>
      <c r="DE108" s="33"/>
      <c r="DF108" s="66"/>
    </row>
    <row r="109" spans="1:110" ht="24.95" customHeight="1">
      <c r="A109" s="89">
        <v>85</v>
      </c>
      <c r="B109" s="74" t="s">
        <v>221</v>
      </c>
      <c r="C109" s="60"/>
      <c r="D109" s="75" t="s">
        <v>247</v>
      </c>
      <c r="E109" s="70"/>
      <c r="F109" s="60" t="s">
        <v>253</v>
      </c>
      <c r="G109" s="64">
        <v>0</v>
      </c>
      <c r="H109" s="76">
        <v>0</v>
      </c>
      <c r="I109" s="76">
        <v>0</v>
      </c>
      <c r="J109" s="33"/>
      <c r="K109" s="33">
        <v>0</v>
      </c>
      <c r="L109" s="33">
        <f t="shared" si="226"/>
        <v>0</v>
      </c>
      <c r="M109" s="34"/>
      <c r="N109" s="33">
        <f t="shared" si="227"/>
        <v>0</v>
      </c>
      <c r="O109" s="33">
        <f t="shared" si="228"/>
        <v>0</v>
      </c>
      <c r="P109" s="137">
        <f t="shared" si="236"/>
        <v>0</v>
      </c>
      <c r="Q109" s="34">
        <f t="shared" si="237"/>
        <v>0</v>
      </c>
      <c r="R109" s="33">
        <f t="shared" si="238"/>
        <v>0</v>
      </c>
      <c r="S109" s="36"/>
      <c r="T109" s="34">
        <v>0</v>
      </c>
      <c r="U109" s="34">
        <v>0</v>
      </c>
      <c r="V109" s="34">
        <v>0</v>
      </c>
      <c r="W109" s="34">
        <v>0</v>
      </c>
      <c r="X109" s="34">
        <v>0</v>
      </c>
      <c r="Y109" s="34">
        <v>0</v>
      </c>
      <c r="Z109" s="34"/>
      <c r="AA109" s="33">
        <v>0</v>
      </c>
      <c r="AB109" s="34">
        <f t="shared" si="229"/>
        <v>0</v>
      </c>
      <c r="AC109" s="33"/>
      <c r="AD109" s="33"/>
      <c r="AE109" s="33"/>
      <c r="AF109" s="65">
        <f t="shared" si="230"/>
        <v>0</v>
      </c>
      <c r="AG109" s="33">
        <f t="shared" si="231"/>
        <v>0</v>
      </c>
      <c r="AH109" s="65">
        <f t="shared" si="232"/>
        <v>0</v>
      </c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>
        <v>0</v>
      </c>
      <c r="BJ109" s="33"/>
      <c r="BK109" s="33">
        <v>0</v>
      </c>
      <c r="BL109" s="33">
        <v>0</v>
      </c>
      <c r="BM109" s="33"/>
      <c r="BN109" s="33">
        <v>0</v>
      </c>
      <c r="BO109" s="33">
        <v>0</v>
      </c>
      <c r="BP109" s="33"/>
      <c r="BQ109" s="33"/>
      <c r="BR109" s="33"/>
      <c r="BT109" s="65">
        <f t="shared" si="233"/>
        <v>0</v>
      </c>
      <c r="BU109" s="33">
        <f t="shared" si="234"/>
        <v>0</v>
      </c>
      <c r="BV109" s="65">
        <f t="shared" si="235"/>
        <v>0</v>
      </c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>
        <v>0</v>
      </c>
      <c r="CW109" s="33">
        <v>0</v>
      </c>
      <c r="CX109" s="33"/>
      <c r="CY109" s="33">
        <v>0</v>
      </c>
      <c r="CZ109" s="33">
        <v>0</v>
      </c>
      <c r="DA109" s="34"/>
      <c r="DB109" s="33">
        <v>0</v>
      </c>
      <c r="DC109" s="33">
        <v>0</v>
      </c>
      <c r="DD109" s="33"/>
      <c r="DE109" s="33"/>
      <c r="DF109" s="66"/>
    </row>
    <row r="110" spans="1:110" ht="24.95" customHeight="1">
      <c r="A110" s="89">
        <v>86</v>
      </c>
      <c r="B110" s="74" t="s">
        <v>222</v>
      </c>
      <c r="C110" s="60"/>
      <c r="D110" s="75" t="s">
        <v>248</v>
      </c>
      <c r="E110" s="70"/>
      <c r="F110" s="60" t="s">
        <v>253</v>
      </c>
      <c r="G110" s="64">
        <v>0</v>
      </c>
      <c r="H110" s="76">
        <v>0</v>
      </c>
      <c r="I110" s="76">
        <v>0</v>
      </c>
      <c r="J110" s="33"/>
      <c r="K110" s="33">
        <v>0</v>
      </c>
      <c r="L110" s="33">
        <f t="shared" si="226"/>
        <v>0</v>
      </c>
      <c r="M110" s="34"/>
      <c r="N110" s="33">
        <f t="shared" si="227"/>
        <v>0</v>
      </c>
      <c r="O110" s="33">
        <f t="shared" si="228"/>
        <v>0</v>
      </c>
      <c r="P110" s="137">
        <f t="shared" si="236"/>
        <v>0</v>
      </c>
      <c r="Q110" s="34">
        <f t="shared" si="237"/>
        <v>0</v>
      </c>
      <c r="R110" s="33">
        <f t="shared" si="238"/>
        <v>0</v>
      </c>
      <c r="S110" s="36"/>
      <c r="T110" s="34">
        <v>0</v>
      </c>
      <c r="U110" s="34">
        <v>0</v>
      </c>
      <c r="V110" s="34">
        <v>0</v>
      </c>
      <c r="W110" s="34">
        <v>0</v>
      </c>
      <c r="X110" s="34">
        <v>0</v>
      </c>
      <c r="Y110" s="34">
        <v>0</v>
      </c>
      <c r="Z110" s="34"/>
      <c r="AA110" s="33">
        <v>0</v>
      </c>
      <c r="AB110" s="34">
        <f t="shared" si="229"/>
        <v>0</v>
      </c>
      <c r="AC110" s="33"/>
      <c r="AD110" s="33"/>
      <c r="AE110" s="33"/>
      <c r="AF110" s="65">
        <f t="shared" si="230"/>
        <v>0</v>
      </c>
      <c r="AG110" s="33">
        <f t="shared" si="231"/>
        <v>0</v>
      </c>
      <c r="AH110" s="65">
        <f t="shared" si="232"/>
        <v>0</v>
      </c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>
        <v>0</v>
      </c>
      <c r="BJ110" s="33"/>
      <c r="BK110" s="33">
        <v>0</v>
      </c>
      <c r="BL110" s="33">
        <v>0</v>
      </c>
      <c r="BM110" s="33"/>
      <c r="BN110" s="33">
        <v>0</v>
      </c>
      <c r="BO110" s="33">
        <v>0</v>
      </c>
      <c r="BP110" s="33"/>
      <c r="BQ110" s="33"/>
      <c r="BR110" s="33"/>
      <c r="BT110" s="65">
        <f t="shared" si="233"/>
        <v>0</v>
      </c>
      <c r="BU110" s="33">
        <f t="shared" si="234"/>
        <v>0</v>
      </c>
      <c r="BV110" s="65">
        <f t="shared" si="235"/>
        <v>0</v>
      </c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>
        <v>0</v>
      </c>
      <c r="CW110" s="33">
        <v>0</v>
      </c>
      <c r="CX110" s="33"/>
      <c r="CY110" s="33">
        <v>0</v>
      </c>
      <c r="CZ110" s="33">
        <v>0</v>
      </c>
      <c r="DA110" s="34"/>
      <c r="DB110" s="33">
        <v>0</v>
      </c>
      <c r="DC110" s="33">
        <v>0</v>
      </c>
      <c r="DD110" s="33"/>
      <c r="DE110" s="33"/>
      <c r="DF110" s="66"/>
    </row>
    <row r="111" spans="1:110" ht="24.95" customHeight="1">
      <c r="A111" s="89">
        <v>87</v>
      </c>
      <c r="B111" s="74" t="s">
        <v>223</v>
      </c>
      <c r="C111" s="60"/>
      <c r="D111" s="75" t="s">
        <v>249</v>
      </c>
      <c r="E111" s="70"/>
      <c r="F111" s="60" t="s">
        <v>253</v>
      </c>
      <c r="G111" s="64">
        <v>0</v>
      </c>
      <c r="H111" s="76">
        <v>0</v>
      </c>
      <c r="I111" s="76">
        <v>0</v>
      </c>
      <c r="J111" s="33"/>
      <c r="K111" s="33">
        <v>0</v>
      </c>
      <c r="L111" s="33">
        <f t="shared" si="226"/>
        <v>0</v>
      </c>
      <c r="M111" s="34"/>
      <c r="N111" s="33">
        <f t="shared" si="227"/>
        <v>0</v>
      </c>
      <c r="O111" s="33">
        <f t="shared" si="228"/>
        <v>0</v>
      </c>
      <c r="P111" s="137">
        <f t="shared" si="236"/>
        <v>0</v>
      </c>
      <c r="Q111" s="34">
        <f t="shared" si="237"/>
        <v>0</v>
      </c>
      <c r="R111" s="33">
        <f t="shared" si="238"/>
        <v>0</v>
      </c>
      <c r="S111" s="36"/>
      <c r="T111" s="34">
        <v>0</v>
      </c>
      <c r="U111" s="34">
        <v>0</v>
      </c>
      <c r="V111" s="34">
        <v>0</v>
      </c>
      <c r="W111" s="34">
        <v>0</v>
      </c>
      <c r="X111" s="34">
        <v>0</v>
      </c>
      <c r="Y111" s="34">
        <v>0</v>
      </c>
      <c r="Z111" s="34"/>
      <c r="AA111" s="33">
        <v>0</v>
      </c>
      <c r="AB111" s="34">
        <f t="shared" si="229"/>
        <v>0</v>
      </c>
      <c r="AC111" s="33"/>
      <c r="AD111" s="33"/>
      <c r="AE111" s="33"/>
      <c r="AF111" s="65">
        <f t="shared" si="230"/>
        <v>0</v>
      </c>
      <c r="AG111" s="33">
        <f t="shared" si="231"/>
        <v>0</v>
      </c>
      <c r="AH111" s="65">
        <f t="shared" si="232"/>
        <v>0</v>
      </c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>
        <v>0</v>
      </c>
      <c r="BJ111" s="33"/>
      <c r="BK111" s="33">
        <v>0</v>
      </c>
      <c r="BL111" s="33">
        <v>0</v>
      </c>
      <c r="BM111" s="33"/>
      <c r="BN111" s="33">
        <v>0</v>
      </c>
      <c r="BO111" s="33">
        <v>0</v>
      </c>
      <c r="BP111" s="33"/>
      <c r="BQ111" s="33"/>
      <c r="BR111" s="33"/>
      <c r="BT111" s="65">
        <f t="shared" si="233"/>
        <v>0</v>
      </c>
      <c r="BU111" s="33">
        <f t="shared" si="234"/>
        <v>0</v>
      </c>
      <c r="BV111" s="65">
        <f t="shared" si="235"/>
        <v>0</v>
      </c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>
        <v>0</v>
      </c>
      <c r="CW111" s="33">
        <v>0</v>
      </c>
      <c r="CX111" s="33"/>
      <c r="CY111" s="33">
        <v>0</v>
      </c>
      <c r="CZ111" s="33">
        <v>0</v>
      </c>
      <c r="DA111" s="34"/>
      <c r="DB111" s="33">
        <v>0</v>
      </c>
      <c r="DC111" s="33">
        <v>0</v>
      </c>
      <c r="DD111" s="33"/>
      <c r="DE111" s="33"/>
      <c r="DF111" s="66"/>
    </row>
    <row r="112" spans="1:110" ht="24.95" customHeight="1">
      <c r="A112" s="89">
        <v>88</v>
      </c>
      <c r="B112" s="74" t="s">
        <v>224</v>
      </c>
      <c r="C112" s="60"/>
      <c r="D112" s="75"/>
      <c r="E112" s="70"/>
      <c r="F112" s="60" t="s">
        <v>151</v>
      </c>
      <c r="G112" s="64">
        <v>0</v>
      </c>
      <c r="H112" s="76">
        <v>0</v>
      </c>
      <c r="I112" s="76">
        <v>0</v>
      </c>
      <c r="J112" s="33"/>
      <c r="K112" s="33">
        <v>0</v>
      </c>
      <c r="L112" s="33">
        <f t="shared" si="226"/>
        <v>0</v>
      </c>
      <c r="M112" s="34"/>
      <c r="N112" s="33">
        <f t="shared" si="227"/>
        <v>0</v>
      </c>
      <c r="O112" s="33">
        <f t="shared" si="228"/>
        <v>0</v>
      </c>
      <c r="P112" s="137">
        <f t="shared" si="236"/>
        <v>0</v>
      </c>
      <c r="Q112" s="34">
        <f t="shared" si="237"/>
        <v>0</v>
      </c>
      <c r="R112" s="33">
        <f t="shared" si="238"/>
        <v>0</v>
      </c>
      <c r="S112" s="36"/>
      <c r="T112" s="34">
        <v>0</v>
      </c>
      <c r="U112" s="34">
        <v>0</v>
      </c>
      <c r="V112" s="34">
        <v>0</v>
      </c>
      <c r="W112" s="34">
        <v>0</v>
      </c>
      <c r="X112" s="34">
        <v>0</v>
      </c>
      <c r="Y112" s="34">
        <v>0</v>
      </c>
      <c r="Z112" s="34"/>
      <c r="AA112" s="33">
        <v>0</v>
      </c>
      <c r="AB112" s="34">
        <f t="shared" si="229"/>
        <v>0</v>
      </c>
      <c r="AC112" s="33"/>
      <c r="AD112" s="33"/>
      <c r="AE112" s="33"/>
      <c r="AF112" s="65">
        <f t="shared" si="230"/>
        <v>0</v>
      </c>
      <c r="AG112" s="33">
        <f t="shared" si="231"/>
        <v>0</v>
      </c>
      <c r="AH112" s="65">
        <f t="shared" si="232"/>
        <v>0</v>
      </c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>
        <v>0</v>
      </c>
      <c r="BJ112" s="33"/>
      <c r="BK112" s="33">
        <v>0</v>
      </c>
      <c r="BL112" s="33">
        <v>0</v>
      </c>
      <c r="BM112" s="33"/>
      <c r="BN112" s="33">
        <v>0</v>
      </c>
      <c r="BO112" s="33">
        <v>0</v>
      </c>
      <c r="BP112" s="33"/>
      <c r="BQ112" s="33"/>
      <c r="BR112" s="33"/>
      <c r="BT112" s="65">
        <f t="shared" si="233"/>
        <v>0</v>
      </c>
      <c r="BU112" s="33">
        <f t="shared" si="234"/>
        <v>0</v>
      </c>
      <c r="BV112" s="65">
        <f t="shared" si="235"/>
        <v>0</v>
      </c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>
        <v>0</v>
      </c>
      <c r="CW112" s="33">
        <v>0</v>
      </c>
      <c r="CX112" s="33"/>
      <c r="CY112" s="33">
        <v>0</v>
      </c>
      <c r="CZ112" s="33">
        <v>0</v>
      </c>
      <c r="DA112" s="34"/>
      <c r="DB112" s="33">
        <v>0</v>
      </c>
      <c r="DC112" s="33">
        <v>0</v>
      </c>
      <c r="DD112" s="33"/>
      <c r="DE112" s="33"/>
      <c r="DF112" s="66"/>
    </row>
    <row r="113" spans="1:110" ht="24.95" customHeight="1">
      <c r="A113" s="89">
        <v>89</v>
      </c>
      <c r="B113" s="74" t="s">
        <v>225</v>
      </c>
      <c r="C113" s="60"/>
      <c r="D113" s="75"/>
      <c r="E113" s="70" t="s">
        <v>298</v>
      </c>
      <c r="F113" s="60" t="s">
        <v>196</v>
      </c>
      <c r="G113" s="64">
        <v>78</v>
      </c>
      <c r="H113" s="76">
        <v>4829.9999999992633</v>
      </c>
      <c r="I113" s="76">
        <v>376739.99999994255</v>
      </c>
      <c r="J113" s="33">
        <v>10</v>
      </c>
      <c r="K113" s="33">
        <v>4830</v>
      </c>
      <c r="L113" s="33">
        <f t="shared" si="226"/>
        <v>48300</v>
      </c>
      <c r="M113" s="34">
        <v>55</v>
      </c>
      <c r="N113" s="33">
        <f t="shared" si="227"/>
        <v>4829.999999999347</v>
      </c>
      <c r="O113" s="33">
        <f t="shared" si="228"/>
        <v>265649.99999996409</v>
      </c>
      <c r="P113" s="137">
        <f t="shared" si="236"/>
        <v>33</v>
      </c>
      <c r="Q113" s="34">
        <f t="shared" si="237"/>
        <v>4829.999999999347</v>
      </c>
      <c r="R113" s="33">
        <f t="shared" si="238"/>
        <v>159389.99999997846</v>
      </c>
      <c r="S113" s="36">
        <v>46816</v>
      </c>
      <c r="T113" s="34">
        <v>770</v>
      </c>
      <c r="U113" s="34">
        <v>4830</v>
      </c>
      <c r="V113" s="34">
        <v>3719100</v>
      </c>
      <c r="W113" s="34">
        <v>773</v>
      </c>
      <c r="X113" s="34">
        <v>4829.9999999598022</v>
      </c>
      <c r="Y113" s="34">
        <v>3733589.9999689274</v>
      </c>
      <c r="Z113" s="34">
        <v>50</v>
      </c>
      <c r="AA113" s="33">
        <v>4829.9999999992633</v>
      </c>
      <c r="AB113" s="34">
        <f t="shared" si="229"/>
        <v>241499.99999996315</v>
      </c>
      <c r="AC113" s="33">
        <v>36</v>
      </c>
      <c r="AD113" s="33">
        <v>4829.9999991362856</v>
      </c>
      <c r="AE113" s="33">
        <v>173879.99996890628</v>
      </c>
      <c r="AF113" s="65">
        <f t="shared" si="230"/>
        <v>770</v>
      </c>
      <c r="AG113" s="33">
        <f t="shared" si="231"/>
        <v>4830</v>
      </c>
      <c r="AH113" s="65">
        <f t="shared" si="232"/>
        <v>3719100</v>
      </c>
      <c r="AI113" s="33">
        <v>50</v>
      </c>
      <c r="AJ113" s="33">
        <v>4830</v>
      </c>
      <c r="AK113" s="33">
        <v>241500</v>
      </c>
      <c r="AL113" s="33"/>
      <c r="AM113" s="33"/>
      <c r="AN113" s="33"/>
      <c r="AO113" s="33">
        <v>100</v>
      </c>
      <c r="AP113" s="33">
        <v>4830</v>
      </c>
      <c r="AQ113" s="33">
        <v>483000</v>
      </c>
      <c r="AR113" s="33">
        <v>300</v>
      </c>
      <c r="AS113" s="33">
        <v>4830</v>
      </c>
      <c r="AT113" s="33">
        <v>1449000</v>
      </c>
      <c r="AU113" s="33">
        <v>30</v>
      </c>
      <c r="AV113" s="33">
        <v>4830</v>
      </c>
      <c r="AW113" s="33">
        <v>144900</v>
      </c>
      <c r="AX113" s="33">
        <v>30</v>
      </c>
      <c r="AY113" s="33">
        <v>4830</v>
      </c>
      <c r="AZ113" s="33">
        <v>144900</v>
      </c>
      <c r="BA113" s="33">
        <v>50</v>
      </c>
      <c r="BB113" s="33">
        <v>4830</v>
      </c>
      <c r="BC113" s="33">
        <v>241500</v>
      </c>
      <c r="BD113" s="33">
        <v>100</v>
      </c>
      <c r="BE113" s="33">
        <v>4830</v>
      </c>
      <c r="BF113" s="33">
        <v>483000</v>
      </c>
      <c r="BG113" s="33">
        <v>100</v>
      </c>
      <c r="BH113" s="33">
        <v>4830</v>
      </c>
      <c r="BI113" s="33">
        <v>483000</v>
      </c>
      <c r="BJ113" s="33"/>
      <c r="BK113" s="33">
        <v>0</v>
      </c>
      <c r="BL113" s="33">
        <v>0</v>
      </c>
      <c r="BM113" s="33">
        <v>10</v>
      </c>
      <c r="BN113" s="33">
        <v>4830</v>
      </c>
      <c r="BO113" s="33">
        <v>48300</v>
      </c>
      <c r="BP113" s="33"/>
      <c r="BQ113" s="33"/>
      <c r="BR113" s="33"/>
      <c r="BT113" s="65">
        <f t="shared" si="233"/>
        <v>773</v>
      </c>
      <c r="BU113" s="33">
        <f t="shared" si="234"/>
        <v>4829.9999999598022</v>
      </c>
      <c r="BV113" s="65">
        <f t="shared" si="235"/>
        <v>3733589.9999689274</v>
      </c>
      <c r="BW113" s="33">
        <v>45</v>
      </c>
      <c r="BX113" s="33">
        <v>4829.9999996384449</v>
      </c>
      <c r="BY113" s="33">
        <v>217349.99998373003</v>
      </c>
      <c r="BZ113" s="33">
        <v>34</v>
      </c>
      <c r="CA113" s="33">
        <v>4829.9999996384449</v>
      </c>
      <c r="CB113" s="33">
        <v>164219.99998770712</v>
      </c>
      <c r="CC113" s="33">
        <v>51</v>
      </c>
      <c r="CD113" s="33">
        <v>4829.9999999763468</v>
      </c>
      <c r="CE113" s="33">
        <v>246329.99999879368</v>
      </c>
      <c r="CF113" s="33">
        <v>75</v>
      </c>
      <c r="CG113" s="33">
        <v>4829.9999999962793</v>
      </c>
      <c r="CH113" s="33">
        <v>362249.99999972095</v>
      </c>
      <c r="CI113" s="33">
        <v>53</v>
      </c>
      <c r="CJ113" s="33">
        <v>4829.9999999966376</v>
      </c>
      <c r="CK113" s="33">
        <v>255989.9999998218</v>
      </c>
      <c r="CL113" s="33">
        <v>71</v>
      </c>
      <c r="CM113" s="33">
        <v>4829.9999999969878</v>
      </c>
      <c r="CN113" s="33">
        <v>342929.99999978615</v>
      </c>
      <c r="CO113" s="33">
        <v>148</v>
      </c>
      <c r="CP113" s="33">
        <v>4829.9999999975516</v>
      </c>
      <c r="CQ113" s="33">
        <v>714839.9999996376</v>
      </c>
      <c r="CR113" s="33">
        <v>95</v>
      </c>
      <c r="CS113" s="33">
        <v>4829.9999999986685</v>
      </c>
      <c r="CT113" s="33">
        <v>458849.99999987351</v>
      </c>
      <c r="CU113" s="33">
        <v>68</v>
      </c>
      <c r="CV113" s="33">
        <v>4829.9999999992633</v>
      </c>
      <c r="CW113" s="33">
        <v>328439.99999994988</v>
      </c>
      <c r="CX113" s="33">
        <v>78</v>
      </c>
      <c r="CY113" s="33">
        <v>4829.9999999992633</v>
      </c>
      <c r="CZ113" s="33">
        <v>376739.99999994255</v>
      </c>
      <c r="DA113" s="34">
        <v>55</v>
      </c>
      <c r="DB113" s="33">
        <v>4829.999999999347</v>
      </c>
      <c r="DC113" s="33">
        <v>265649.99999996409</v>
      </c>
      <c r="DD113" s="33"/>
      <c r="DE113" s="33"/>
      <c r="DF113" s="66"/>
    </row>
    <row r="114" spans="1:110" ht="24.95" customHeight="1">
      <c r="A114" s="89">
        <v>90</v>
      </c>
      <c r="B114" s="74" t="s">
        <v>226</v>
      </c>
      <c r="C114" s="60"/>
      <c r="D114" s="75"/>
      <c r="E114" s="70"/>
      <c r="F114" s="60" t="s">
        <v>196</v>
      </c>
      <c r="G114" s="64">
        <v>0</v>
      </c>
      <c r="H114" s="76">
        <v>6171.1199237405099</v>
      </c>
      <c r="I114" s="76">
        <v>0</v>
      </c>
      <c r="J114" s="33">
        <v>10</v>
      </c>
      <c r="K114" s="33">
        <v>6171.12</v>
      </c>
      <c r="L114" s="33">
        <f t="shared" si="226"/>
        <v>61711.199999999997</v>
      </c>
      <c r="M114" s="34">
        <v>3</v>
      </c>
      <c r="N114" s="33">
        <f t="shared" si="227"/>
        <v>6171.12</v>
      </c>
      <c r="O114" s="33">
        <f t="shared" si="228"/>
        <v>18513.36</v>
      </c>
      <c r="P114" s="137">
        <f t="shared" si="236"/>
        <v>7</v>
      </c>
      <c r="Q114" s="34">
        <f t="shared" si="237"/>
        <v>6171.12</v>
      </c>
      <c r="R114" s="33">
        <f t="shared" si="238"/>
        <v>43197.84</v>
      </c>
      <c r="S114" s="36">
        <v>46998</v>
      </c>
      <c r="T114" s="34">
        <v>110</v>
      </c>
      <c r="U114" s="34">
        <v>6171.12</v>
      </c>
      <c r="V114" s="34">
        <v>678823.2</v>
      </c>
      <c r="W114" s="34">
        <v>113</v>
      </c>
      <c r="X114" s="34">
        <v>6171.1182300884948</v>
      </c>
      <c r="Y114" s="34">
        <v>697336.35999999987</v>
      </c>
      <c r="Z114" s="34">
        <v>10</v>
      </c>
      <c r="AA114" s="33">
        <v>6171.1199237405099</v>
      </c>
      <c r="AB114" s="34">
        <f t="shared" si="229"/>
        <v>61711.199237405097</v>
      </c>
      <c r="AC114" s="33">
        <v>10</v>
      </c>
      <c r="AD114" s="33">
        <v>6171.1</v>
      </c>
      <c r="AE114" s="33">
        <v>61711</v>
      </c>
      <c r="AF114" s="65">
        <f t="shared" si="230"/>
        <v>110</v>
      </c>
      <c r="AG114" s="33">
        <f t="shared" si="231"/>
        <v>6171.12</v>
      </c>
      <c r="AH114" s="65">
        <f t="shared" si="232"/>
        <v>678823.2</v>
      </c>
      <c r="AI114" s="33">
        <v>30</v>
      </c>
      <c r="AJ114" s="33">
        <v>6171.12</v>
      </c>
      <c r="AK114" s="33">
        <v>185133.6</v>
      </c>
      <c r="AL114" s="33"/>
      <c r="AM114" s="33"/>
      <c r="AN114" s="33"/>
      <c r="AO114" s="33">
        <v>20</v>
      </c>
      <c r="AP114" s="33">
        <v>6171.12</v>
      </c>
      <c r="AQ114" s="33">
        <v>123422.39999999999</v>
      </c>
      <c r="AR114" s="33">
        <v>20</v>
      </c>
      <c r="AS114" s="33">
        <v>6171.12</v>
      </c>
      <c r="AT114" s="33">
        <v>123422.39999999999</v>
      </c>
      <c r="AU114" s="33">
        <v>10</v>
      </c>
      <c r="AV114" s="33">
        <v>6171.12</v>
      </c>
      <c r="AW114" s="33">
        <v>61711.199999999997</v>
      </c>
      <c r="AX114" s="33">
        <v>10</v>
      </c>
      <c r="AY114" s="33">
        <v>6171.12</v>
      </c>
      <c r="AZ114" s="33">
        <v>61711.199999999997</v>
      </c>
      <c r="BA114" s="33">
        <v>10</v>
      </c>
      <c r="BB114" s="33">
        <v>6171.12</v>
      </c>
      <c r="BC114" s="33">
        <v>61711.199999999997</v>
      </c>
      <c r="BD114" s="33"/>
      <c r="BE114" s="33"/>
      <c r="BF114" s="33">
        <v>0</v>
      </c>
      <c r="BG114" s="33"/>
      <c r="BH114" s="33"/>
      <c r="BI114" s="33">
        <v>0</v>
      </c>
      <c r="BJ114" s="33"/>
      <c r="BK114" s="33">
        <v>0</v>
      </c>
      <c r="BL114" s="33">
        <v>0</v>
      </c>
      <c r="BM114" s="33">
        <v>10</v>
      </c>
      <c r="BN114" s="33">
        <v>6171.12</v>
      </c>
      <c r="BO114" s="33">
        <v>61711.199999999997</v>
      </c>
      <c r="BP114" s="33"/>
      <c r="BQ114" s="33"/>
      <c r="BR114" s="33"/>
      <c r="BT114" s="65">
        <f t="shared" si="233"/>
        <v>113</v>
      </c>
      <c r="BU114" s="33">
        <f t="shared" si="234"/>
        <v>6171.1182300884948</v>
      </c>
      <c r="BV114" s="65">
        <f t="shared" si="235"/>
        <v>697336.35999999987</v>
      </c>
      <c r="BW114" s="33">
        <v>24</v>
      </c>
      <c r="BX114" s="33">
        <v>6171.1149999999998</v>
      </c>
      <c r="BY114" s="33">
        <v>148106.76</v>
      </c>
      <c r="BZ114" s="33">
        <v>11</v>
      </c>
      <c r="CA114" s="33">
        <v>6171.1149999999998</v>
      </c>
      <c r="CB114" s="33">
        <v>67882.264999999999</v>
      </c>
      <c r="CC114" s="33">
        <v>15</v>
      </c>
      <c r="CD114" s="33">
        <v>6171.1189999999988</v>
      </c>
      <c r="CE114" s="33">
        <v>92566.784999999974</v>
      </c>
      <c r="CF114" s="33">
        <v>12</v>
      </c>
      <c r="CG114" s="33">
        <v>6171.1196666666656</v>
      </c>
      <c r="CH114" s="33">
        <v>74053.435999999987</v>
      </c>
      <c r="CI114" s="33">
        <v>11</v>
      </c>
      <c r="CJ114" s="33">
        <v>6171.1197857142852</v>
      </c>
      <c r="CK114" s="33">
        <v>67882.317642857131</v>
      </c>
      <c r="CL114" s="33">
        <v>14</v>
      </c>
      <c r="CM114" s="33">
        <v>6171.1198650793649</v>
      </c>
      <c r="CN114" s="33">
        <v>86395.678111111105</v>
      </c>
      <c r="CO114" s="33">
        <v>12</v>
      </c>
      <c r="CP114" s="33">
        <v>6171.1199237405099</v>
      </c>
      <c r="CQ114" s="33">
        <v>74053.439084886122</v>
      </c>
      <c r="CR114" s="33">
        <v>5</v>
      </c>
      <c r="CS114" s="33">
        <v>6171.1199237405099</v>
      </c>
      <c r="CT114" s="33">
        <v>30855.599618702548</v>
      </c>
      <c r="CU114" s="33">
        <v>2</v>
      </c>
      <c r="CV114" s="33">
        <v>6171.1199237405099</v>
      </c>
      <c r="CW114" s="33">
        <v>12342.23984748102</v>
      </c>
      <c r="CX114" s="33">
        <v>4</v>
      </c>
      <c r="CY114" s="33">
        <v>6171.1199237405099</v>
      </c>
      <c r="CZ114" s="33">
        <v>24684.47969496204</v>
      </c>
      <c r="DA114" s="34">
        <v>3</v>
      </c>
      <c r="DB114" s="33">
        <v>6171.12</v>
      </c>
      <c r="DC114" s="33">
        <v>18513.36</v>
      </c>
      <c r="DD114" s="33"/>
      <c r="DE114" s="33"/>
      <c r="DF114" s="66"/>
    </row>
    <row r="115" spans="1:110" ht="24.95" customHeight="1">
      <c r="A115" s="89">
        <v>91</v>
      </c>
      <c r="B115" s="74" t="s">
        <v>227</v>
      </c>
      <c r="C115" s="60"/>
      <c r="D115" s="75"/>
      <c r="E115" s="70"/>
      <c r="F115" s="60" t="s">
        <v>254</v>
      </c>
      <c r="G115" s="64">
        <v>0</v>
      </c>
      <c r="H115" s="76">
        <v>0</v>
      </c>
      <c r="I115" s="76">
        <v>0</v>
      </c>
      <c r="J115" s="33"/>
      <c r="K115" s="33">
        <v>0</v>
      </c>
      <c r="L115" s="33">
        <f t="shared" si="226"/>
        <v>0</v>
      </c>
      <c r="M115" s="34"/>
      <c r="N115" s="33">
        <f t="shared" si="227"/>
        <v>0</v>
      </c>
      <c r="O115" s="33">
        <f t="shared" si="228"/>
        <v>0</v>
      </c>
      <c r="P115" s="137">
        <f t="shared" si="236"/>
        <v>0</v>
      </c>
      <c r="Q115" s="34">
        <f t="shared" si="237"/>
        <v>0</v>
      </c>
      <c r="R115" s="33">
        <f t="shared" si="238"/>
        <v>0</v>
      </c>
      <c r="S115" s="36"/>
      <c r="T115" s="34">
        <v>0</v>
      </c>
      <c r="U115" s="34">
        <v>0</v>
      </c>
      <c r="V115" s="34">
        <v>0</v>
      </c>
      <c r="W115" s="34">
        <v>0</v>
      </c>
      <c r="X115" s="34">
        <v>0</v>
      </c>
      <c r="Y115" s="34">
        <v>0</v>
      </c>
      <c r="Z115" s="34"/>
      <c r="AA115" s="33">
        <v>0</v>
      </c>
      <c r="AB115" s="34">
        <f t="shared" si="229"/>
        <v>0</v>
      </c>
      <c r="AC115" s="33"/>
      <c r="AD115" s="33"/>
      <c r="AE115" s="33"/>
      <c r="AF115" s="65">
        <f t="shared" si="230"/>
        <v>0</v>
      </c>
      <c r="AG115" s="33">
        <f t="shared" si="231"/>
        <v>0</v>
      </c>
      <c r="AH115" s="65">
        <f t="shared" si="232"/>
        <v>0</v>
      </c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>
        <v>0</v>
      </c>
      <c r="BJ115" s="33"/>
      <c r="BK115" s="33">
        <v>0</v>
      </c>
      <c r="BL115" s="33">
        <v>0</v>
      </c>
      <c r="BM115" s="33"/>
      <c r="BN115" s="33">
        <v>0</v>
      </c>
      <c r="BO115" s="33">
        <v>0</v>
      </c>
      <c r="BP115" s="33"/>
      <c r="BQ115" s="33"/>
      <c r="BR115" s="33"/>
      <c r="BT115" s="65">
        <f t="shared" si="233"/>
        <v>0</v>
      </c>
      <c r="BU115" s="33">
        <f t="shared" si="234"/>
        <v>0</v>
      </c>
      <c r="BV115" s="65">
        <f t="shared" si="235"/>
        <v>0</v>
      </c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>
        <v>0</v>
      </c>
      <c r="CW115" s="33">
        <v>0</v>
      </c>
      <c r="CX115" s="33"/>
      <c r="CY115" s="33">
        <v>0</v>
      </c>
      <c r="CZ115" s="33">
        <v>0</v>
      </c>
      <c r="DA115" s="34"/>
      <c r="DB115" s="33">
        <v>0</v>
      </c>
      <c r="DC115" s="33">
        <v>0</v>
      </c>
      <c r="DD115" s="33"/>
      <c r="DE115" s="33"/>
      <c r="DF115" s="66"/>
    </row>
    <row r="116" spans="1:110" ht="24.95" customHeight="1">
      <c r="A116" s="89">
        <v>92</v>
      </c>
      <c r="B116" s="74" t="s">
        <v>228</v>
      </c>
      <c r="C116" s="60"/>
      <c r="D116" s="75" t="s">
        <v>250</v>
      </c>
      <c r="E116" s="70" t="s">
        <v>293</v>
      </c>
      <c r="F116" s="60" t="s">
        <v>151</v>
      </c>
      <c r="G116" s="64">
        <v>73</v>
      </c>
      <c r="H116" s="76">
        <v>6450.1499995615359</v>
      </c>
      <c r="I116" s="76">
        <v>470860.94996799214</v>
      </c>
      <c r="J116" s="33">
        <v>100</v>
      </c>
      <c r="K116" s="33">
        <v>6450.15</v>
      </c>
      <c r="L116" s="33">
        <f t="shared" si="226"/>
        <v>645015</v>
      </c>
      <c r="M116" s="34">
        <v>145</v>
      </c>
      <c r="N116" s="33">
        <f t="shared" si="227"/>
        <v>6450.1499998149829</v>
      </c>
      <c r="O116" s="33">
        <f t="shared" si="228"/>
        <v>935271.74997317255</v>
      </c>
      <c r="P116" s="137">
        <f t="shared" si="236"/>
        <v>28</v>
      </c>
      <c r="Q116" s="34">
        <f t="shared" si="237"/>
        <v>6450.1499998149829</v>
      </c>
      <c r="R116" s="33">
        <f t="shared" si="238"/>
        <v>180604.19999481953</v>
      </c>
      <c r="S116" s="36">
        <v>47026</v>
      </c>
      <c r="T116" s="34">
        <v>1500</v>
      </c>
      <c r="U116" s="34">
        <v>6450.15</v>
      </c>
      <c r="V116" s="34">
        <v>9675225</v>
      </c>
      <c r="W116" s="34">
        <v>1672</v>
      </c>
      <c r="X116" s="34">
        <v>6450.146925230456</v>
      </c>
      <c r="Y116" s="34">
        <v>10784645.658985322</v>
      </c>
      <c r="Z116" s="34">
        <v>100</v>
      </c>
      <c r="AA116" s="33">
        <v>6450.1499989690183</v>
      </c>
      <c r="AB116" s="34">
        <f t="shared" si="229"/>
        <v>645014.99989690178</v>
      </c>
      <c r="AC116" s="33">
        <v>200</v>
      </c>
      <c r="AD116" s="33">
        <v>6450.1242949007174</v>
      </c>
      <c r="AE116" s="33">
        <v>1290024.8589801434</v>
      </c>
      <c r="AF116" s="65">
        <f t="shared" si="230"/>
        <v>1500</v>
      </c>
      <c r="AG116" s="33">
        <f t="shared" si="231"/>
        <v>6450.15</v>
      </c>
      <c r="AH116" s="65">
        <f t="shared" si="232"/>
        <v>9675225</v>
      </c>
      <c r="AI116" s="33">
        <v>400</v>
      </c>
      <c r="AJ116" s="33">
        <v>6450.15</v>
      </c>
      <c r="AK116" s="33">
        <v>2580060</v>
      </c>
      <c r="AL116" s="33"/>
      <c r="AM116" s="33"/>
      <c r="AN116" s="33"/>
      <c r="AO116" s="33">
        <v>200</v>
      </c>
      <c r="AP116" s="33">
        <v>6450.15</v>
      </c>
      <c r="AQ116" s="33">
        <v>1290030</v>
      </c>
      <c r="AR116" s="33">
        <v>150</v>
      </c>
      <c r="AS116" s="33">
        <v>6450.15</v>
      </c>
      <c r="AT116" s="33">
        <v>967522.5</v>
      </c>
      <c r="AU116" s="33">
        <v>150</v>
      </c>
      <c r="AV116" s="33">
        <v>6450.15</v>
      </c>
      <c r="AW116" s="33">
        <v>967522.5</v>
      </c>
      <c r="AX116" s="33">
        <v>100</v>
      </c>
      <c r="AY116" s="33">
        <v>6450.15</v>
      </c>
      <c r="AZ116" s="33">
        <v>645015</v>
      </c>
      <c r="BA116" s="33">
        <v>100</v>
      </c>
      <c r="BB116" s="33">
        <v>6450.15</v>
      </c>
      <c r="BC116" s="33">
        <v>645015</v>
      </c>
      <c r="BD116" s="33">
        <v>100</v>
      </c>
      <c r="BE116" s="33">
        <v>6450.15</v>
      </c>
      <c r="BF116" s="33">
        <v>645015</v>
      </c>
      <c r="BG116" s="33">
        <v>100</v>
      </c>
      <c r="BH116" s="33">
        <v>6450.15</v>
      </c>
      <c r="BI116" s="33">
        <v>645015</v>
      </c>
      <c r="BJ116" s="33">
        <v>100</v>
      </c>
      <c r="BK116" s="33">
        <v>6450.15</v>
      </c>
      <c r="BL116" s="33">
        <v>645015</v>
      </c>
      <c r="BM116" s="33">
        <v>100</v>
      </c>
      <c r="BN116" s="33">
        <v>6450.15</v>
      </c>
      <c r="BO116" s="33">
        <v>645015</v>
      </c>
      <c r="BP116" s="33"/>
      <c r="BQ116" s="33"/>
      <c r="BR116" s="33"/>
      <c r="BT116" s="65">
        <f t="shared" si="233"/>
        <v>1672</v>
      </c>
      <c r="BU116" s="33">
        <f t="shared" si="234"/>
        <v>6450.146925230456</v>
      </c>
      <c r="BV116" s="65">
        <f t="shared" si="235"/>
        <v>10784645.658985322</v>
      </c>
      <c r="BW116" s="33">
        <v>264</v>
      </c>
      <c r="BX116" s="33">
        <v>6450.1414316335722</v>
      </c>
      <c r="BY116" s="33">
        <v>1702837.3379512629</v>
      </c>
      <c r="BZ116" s="33">
        <v>245</v>
      </c>
      <c r="CA116" s="33">
        <v>6450.1414316335713</v>
      </c>
      <c r="CB116" s="33">
        <v>1580284.6507502249</v>
      </c>
      <c r="CC116" s="33">
        <v>260</v>
      </c>
      <c r="CD116" s="33">
        <v>6450.1473205452066</v>
      </c>
      <c r="CE116" s="33">
        <v>1677038.3033417538</v>
      </c>
      <c r="CF116" s="33">
        <v>148</v>
      </c>
      <c r="CG116" s="33">
        <v>6450.1495410878524</v>
      </c>
      <c r="CH116" s="33">
        <v>954622.13208100211</v>
      </c>
      <c r="CI116" s="33">
        <v>105</v>
      </c>
      <c r="CJ116" s="33">
        <v>6450.1499172453505</v>
      </c>
      <c r="CK116" s="33">
        <v>677265.74131076178</v>
      </c>
      <c r="CL116" s="33">
        <v>145</v>
      </c>
      <c r="CM116" s="33">
        <v>6450.149963736726</v>
      </c>
      <c r="CN116" s="33">
        <v>935271.74474182527</v>
      </c>
      <c r="CO116" s="33">
        <v>89</v>
      </c>
      <c r="CP116" s="33">
        <v>6450.1499910023449</v>
      </c>
      <c r="CQ116" s="33">
        <v>574063.34919920866</v>
      </c>
      <c r="CR116" s="33">
        <v>84</v>
      </c>
      <c r="CS116" s="33">
        <v>6450.1499972507172</v>
      </c>
      <c r="CT116" s="33">
        <v>541812.59976906027</v>
      </c>
      <c r="CU116" s="33">
        <v>86</v>
      </c>
      <c r="CV116" s="33">
        <v>6450.1499989690183</v>
      </c>
      <c r="CW116" s="33">
        <v>554712.89991133555</v>
      </c>
      <c r="CX116" s="33">
        <v>101</v>
      </c>
      <c r="CY116" s="33">
        <v>6450.1499995615359</v>
      </c>
      <c r="CZ116" s="33">
        <v>651465.14995571517</v>
      </c>
      <c r="DA116" s="34">
        <v>145</v>
      </c>
      <c r="DB116" s="33">
        <v>6450.1499998149829</v>
      </c>
      <c r="DC116" s="33">
        <v>935271.74997317255</v>
      </c>
      <c r="DD116" s="33"/>
      <c r="DE116" s="33"/>
      <c r="DF116" s="66"/>
    </row>
    <row r="117" spans="1:110" ht="24.95" customHeight="1">
      <c r="A117" s="89">
        <v>93</v>
      </c>
      <c r="B117" s="74" t="s">
        <v>229</v>
      </c>
      <c r="C117" s="60"/>
      <c r="D117" s="75"/>
      <c r="E117" s="70" t="s">
        <v>299</v>
      </c>
      <c r="F117" s="60" t="s">
        <v>255</v>
      </c>
      <c r="G117" s="64">
        <v>155</v>
      </c>
      <c r="H117" s="76">
        <v>1848.000026675403</v>
      </c>
      <c r="I117" s="76">
        <v>286440.00413468748</v>
      </c>
      <c r="J117" s="33">
        <v>200</v>
      </c>
      <c r="K117" s="33">
        <v>1848</v>
      </c>
      <c r="L117" s="33">
        <f t="shared" si="226"/>
        <v>369600</v>
      </c>
      <c r="M117" s="34">
        <v>211</v>
      </c>
      <c r="N117" s="33">
        <f t="shared" si="227"/>
        <v>1848.0000116470069</v>
      </c>
      <c r="O117" s="33">
        <f t="shared" si="228"/>
        <v>389928.00245751848</v>
      </c>
      <c r="P117" s="137">
        <f t="shared" si="236"/>
        <v>144</v>
      </c>
      <c r="Q117" s="34">
        <f t="shared" si="237"/>
        <v>1848.0000116470069</v>
      </c>
      <c r="R117" s="33">
        <f t="shared" si="238"/>
        <v>266112.001677169</v>
      </c>
      <c r="S117" s="36">
        <v>47056</v>
      </c>
      <c r="T117" s="34">
        <v>1350</v>
      </c>
      <c r="U117" s="34">
        <v>1848</v>
      </c>
      <c r="V117" s="34">
        <v>2494800</v>
      </c>
      <c r="W117" s="34">
        <v>1263</v>
      </c>
      <c r="X117" s="34">
        <v>1848.0995558476232</v>
      </c>
      <c r="Y117" s="34">
        <v>2334149.7390355482</v>
      </c>
      <c r="Z117" s="34">
        <v>200</v>
      </c>
      <c r="AA117" s="33">
        <v>1848.0000645128541</v>
      </c>
      <c r="AB117" s="34">
        <f t="shared" si="229"/>
        <v>369600.01290257083</v>
      </c>
      <c r="AC117" s="33">
        <v>57</v>
      </c>
      <c r="AD117" s="33">
        <v>1850.2059774160925</v>
      </c>
      <c r="AE117" s="33">
        <v>105461.74071271728</v>
      </c>
      <c r="AF117" s="65">
        <f t="shared" si="230"/>
        <v>1350</v>
      </c>
      <c r="AG117" s="33">
        <f t="shared" si="231"/>
        <v>1848</v>
      </c>
      <c r="AH117" s="65">
        <f t="shared" si="232"/>
        <v>2494800</v>
      </c>
      <c r="AI117" s="33">
        <v>100</v>
      </c>
      <c r="AJ117" s="33">
        <v>1848</v>
      </c>
      <c r="AK117" s="33">
        <v>184800</v>
      </c>
      <c r="AL117" s="33"/>
      <c r="AM117" s="33"/>
      <c r="AN117" s="33"/>
      <c r="AO117" s="33">
        <v>50</v>
      </c>
      <c r="AP117" s="33">
        <v>1848</v>
      </c>
      <c r="AQ117" s="33">
        <v>92400</v>
      </c>
      <c r="AR117" s="33">
        <v>50</v>
      </c>
      <c r="AS117" s="33">
        <v>1848</v>
      </c>
      <c r="AT117" s="33">
        <v>92400</v>
      </c>
      <c r="AU117" s="33">
        <v>50</v>
      </c>
      <c r="AV117" s="33">
        <v>1848</v>
      </c>
      <c r="AW117" s="33">
        <v>92400</v>
      </c>
      <c r="AX117" s="33">
        <v>100</v>
      </c>
      <c r="AY117" s="33">
        <v>1848</v>
      </c>
      <c r="AZ117" s="33">
        <v>184800</v>
      </c>
      <c r="BA117" s="33">
        <v>200</v>
      </c>
      <c r="BB117" s="33">
        <v>1848</v>
      </c>
      <c r="BC117" s="33">
        <v>369600</v>
      </c>
      <c r="BD117" s="33">
        <v>200</v>
      </c>
      <c r="BE117" s="33">
        <v>1848</v>
      </c>
      <c r="BF117" s="33">
        <v>369600</v>
      </c>
      <c r="BG117" s="33">
        <v>200</v>
      </c>
      <c r="BH117" s="33">
        <v>1848</v>
      </c>
      <c r="BI117" s="33">
        <v>369600</v>
      </c>
      <c r="BJ117" s="33">
        <v>200</v>
      </c>
      <c r="BK117" s="33">
        <v>1848</v>
      </c>
      <c r="BL117" s="33">
        <v>369600</v>
      </c>
      <c r="BM117" s="33">
        <v>200</v>
      </c>
      <c r="BN117" s="33">
        <v>1848</v>
      </c>
      <c r="BO117" s="33">
        <v>369600</v>
      </c>
      <c r="BP117" s="33"/>
      <c r="BQ117" s="33"/>
      <c r="BR117" s="33"/>
      <c r="BT117" s="65">
        <f t="shared" si="233"/>
        <v>1263</v>
      </c>
      <c r="BU117" s="33">
        <f t="shared" si="234"/>
        <v>1848.0995558476232</v>
      </c>
      <c r="BV117" s="65">
        <f t="shared" si="235"/>
        <v>2334149.7390355482</v>
      </c>
      <c r="BW117" s="33">
        <v>86</v>
      </c>
      <c r="BX117" s="33">
        <v>1848.8008962593458</v>
      </c>
      <c r="BY117" s="33">
        <v>158996.87707830375</v>
      </c>
      <c r="BZ117" s="33">
        <v>54</v>
      </c>
      <c r="CA117" s="33">
        <v>1848.8008962593458</v>
      </c>
      <c r="CB117" s="33">
        <v>99835.248398004667</v>
      </c>
      <c r="CC117" s="33">
        <v>41</v>
      </c>
      <c r="CD117" s="33">
        <v>1848.2032124837147</v>
      </c>
      <c r="CE117" s="33">
        <v>75776.331711832303</v>
      </c>
      <c r="CF117" s="33">
        <v>52</v>
      </c>
      <c r="CG117" s="33">
        <v>1848.0695200602181</v>
      </c>
      <c r="CH117" s="33">
        <v>96099.615043131344</v>
      </c>
      <c r="CI117" s="33">
        <v>48</v>
      </c>
      <c r="CJ117" s="33">
        <v>1848.0225470465571</v>
      </c>
      <c r="CK117" s="33">
        <v>88705.082258234732</v>
      </c>
      <c r="CL117" s="33">
        <v>94</v>
      </c>
      <c r="CM117" s="33">
        <v>1848.0046525651626</v>
      </c>
      <c r="CN117" s="33">
        <v>173712.43734112527</v>
      </c>
      <c r="CO117" s="33">
        <v>156</v>
      </c>
      <c r="CP117" s="33">
        <v>1848.000641733126</v>
      </c>
      <c r="CQ117" s="33">
        <v>288288.10011036764</v>
      </c>
      <c r="CR117" s="33">
        <v>161</v>
      </c>
      <c r="CS117" s="33">
        <v>1848.0001767091217</v>
      </c>
      <c r="CT117" s="33">
        <v>297528.02845016861</v>
      </c>
      <c r="CU117" s="33">
        <v>174</v>
      </c>
      <c r="CV117" s="33">
        <v>1848.0000645128541</v>
      </c>
      <c r="CW117" s="33">
        <v>321552.01122523664</v>
      </c>
      <c r="CX117" s="33">
        <v>186</v>
      </c>
      <c r="CY117" s="33">
        <v>1848.000026675403</v>
      </c>
      <c r="CZ117" s="33">
        <v>343728.00496162497</v>
      </c>
      <c r="DA117" s="34">
        <v>211</v>
      </c>
      <c r="DB117" s="33">
        <v>1848.0000116470069</v>
      </c>
      <c r="DC117" s="33">
        <v>389928.00245751848</v>
      </c>
      <c r="DD117" s="33"/>
      <c r="DE117" s="33"/>
      <c r="DF117" s="66"/>
    </row>
    <row r="118" spans="1:110" ht="24.95" customHeight="1">
      <c r="A118" s="89">
        <v>94</v>
      </c>
      <c r="B118" s="74" t="s">
        <v>230</v>
      </c>
      <c r="C118" s="60"/>
      <c r="D118" s="75" t="s">
        <v>251</v>
      </c>
      <c r="E118" s="70"/>
      <c r="F118" s="60" t="s">
        <v>253</v>
      </c>
      <c r="G118" s="91">
        <v>0</v>
      </c>
      <c r="H118" s="32">
        <v>0</v>
      </c>
      <c r="I118" s="32">
        <v>0</v>
      </c>
      <c r="J118" s="33"/>
      <c r="K118" s="33">
        <v>0</v>
      </c>
      <c r="L118" s="33">
        <f t="shared" si="226"/>
        <v>0</v>
      </c>
      <c r="M118" s="34"/>
      <c r="N118" s="33">
        <f t="shared" si="227"/>
        <v>0</v>
      </c>
      <c r="O118" s="33">
        <f t="shared" si="228"/>
        <v>0</v>
      </c>
      <c r="P118" s="137">
        <f t="shared" si="236"/>
        <v>0</v>
      </c>
      <c r="Q118" s="34">
        <f t="shared" si="237"/>
        <v>0</v>
      </c>
      <c r="R118" s="33">
        <f t="shared" si="238"/>
        <v>0</v>
      </c>
      <c r="S118" s="36"/>
      <c r="T118" s="34">
        <v>0</v>
      </c>
      <c r="U118" s="34">
        <v>0</v>
      </c>
      <c r="V118" s="34">
        <v>0</v>
      </c>
      <c r="W118" s="34">
        <v>0</v>
      </c>
      <c r="X118" s="34">
        <v>0</v>
      </c>
      <c r="Y118" s="34">
        <v>0</v>
      </c>
      <c r="Z118" s="34"/>
      <c r="AA118" s="33">
        <v>0</v>
      </c>
      <c r="AB118" s="34">
        <f t="shared" si="229"/>
        <v>0</v>
      </c>
      <c r="AC118" s="33"/>
      <c r="AD118" s="33"/>
      <c r="AE118" s="33"/>
      <c r="AF118" s="65">
        <f t="shared" si="230"/>
        <v>0</v>
      </c>
      <c r="AG118" s="33">
        <f t="shared" si="231"/>
        <v>0</v>
      </c>
      <c r="AH118" s="65">
        <f t="shared" si="232"/>
        <v>0</v>
      </c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>
        <v>0</v>
      </c>
      <c r="BJ118" s="33"/>
      <c r="BK118" s="33">
        <v>0</v>
      </c>
      <c r="BL118" s="33">
        <v>0</v>
      </c>
      <c r="BM118" s="33"/>
      <c r="BN118" s="33">
        <v>0</v>
      </c>
      <c r="BO118" s="33">
        <v>0</v>
      </c>
      <c r="BP118" s="33"/>
      <c r="BQ118" s="33"/>
      <c r="BR118" s="33"/>
      <c r="BT118" s="65">
        <f t="shared" si="233"/>
        <v>0</v>
      </c>
      <c r="BU118" s="33">
        <f t="shared" si="234"/>
        <v>0</v>
      </c>
      <c r="BV118" s="65">
        <f t="shared" si="235"/>
        <v>0</v>
      </c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>
        <v>0</v>
      </c>
      <c r="CW118" s="33">
        <v>0</v>
      </c>
      <c r="CX118" s="33"/>
      <c r="CY118" s="33">
        <v>0</v>
      </c>
      <c r="CZ118" s="33">
        <v>0</v>
      </c>
      <c r="DA118" s="34"/>
      <c r="DB118" s="33">
        <v>0</v>
      </c>
      <c r="DC118" s="33">
        <v>0</v>
      </c>
      <c r="DD118" s="33"/>
      <c r="DE118" s="33"/>
      <c r="DF118" s="66"/>
    </row>
    <row r="119" spans="1:110" ht="24.95" customHeight="1">
      <c r="A119" s="89">
        <v>95</v>
      </c>
      <c r="B119" s="74" t="s">
        <v>231</v>
      </c>
      <c r="C119" s="60"/>
      <c r="D119" s="75"/>
      <c r="E119" s="70"/>
      <c r="F119" s="60" t="s">
        <v>256</v>
      </c>
      <c r="G119" s="91">
        <v>0</v>
      </c>
      <c r="H119" s="32">
        <v>0</v>
      </c>
      <c r="I119" s="32">
        <v>0</v>
      </c>
      <c r="J119" s="33"/>
      <c r="K119" s="33">
        <v>0</v>
      </c>
      <c r="L119" s="33">
        <f t="shared" si="226"/>
        <v>0</v>
      </c>
      <c r="M119" s="34"/>
      <c r="N119" s="33">
        <f t="shared" si="227"/>
        <v>0</v>
      </c>
      <c r="O119" s="33">
        <f t="shared" si="228"/>
        <v>0</v>
      </c>
      <c r="P119" s="137">
        <f t="shared" si="236"/>
        <v>0</v>
      </c>
      <c r="Q119" s="34">
        <f t="shared" si="237"/>
        <v>0</v>
      </c>
      <c r="R119" s="33">
        <f t="shared" si="238"/>
        <v>0</v>
      </c>
      <c r="S119" s="36"/>
      <c r="T119" s="34">
        <v>0</v>
      </c>
      <c r="U119" s="34">
        <v>0</v>
      </c>
      <c r="V119" s="34">
        <v>0</v>
      </c>
      <c r="W119" s="34">
        <v>0</v>
      </c>
      <c r="X119" s="34">
        <v>0</v>
      </c>
      <c r="Y119" s="34">
        <v>0</v>
      </c>
      <c r="Z119" s="34"/>
      <c r="AA119" s="33">
        <v>0</v>
      </c>
      <c r="AB119" s="34">
        <f t="shared" si="229"/>
        <v>0</v>
      </c>
      <c r="AC119" s="33"/>
      <c r="AD119" s="33"/>
      <c r="AE119" s="33"/>
      <c r="AF119" s="65">
        <f t="shared" si="230"/>
        <v>0</v>
      </c>
      <c r="AG119" s="33">
        <f t="shared" si="231"/>
        <v>0</v>
      </c>
      <c r="AH119" s="65">
        <f t="shared" si="232"/>
        <v>0</v>
      </c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>
        <v>0</v>
      </c>
      <c r="BJ119" s="33"/>
      <c r="BK119" s="33">
        <v>0</v>
      </c>
      <c r="BL119" s="33">
        <v>0</v>
      </c>
      <c r="BM119" s="33"/>
      <c r="BN119" s="33">
        <v>0</v>
      </c>
      <c r="BO119" s="33">
        <v>0</v>
      </c>
      <c r="BP119" s="33"/>
      <c r="BQ119" s="33"/>
      <c r="BR119" s="33"/>
      <c r="BT119" s="65">
        <f t="shared" si="233"/>
        <v>0</v>
      </c>
      <c r="BU119" s="33">
        <f t="shared" si="234"/>
        <v>0</v>
      </c>
      <c r="BV119" s="65">
        <f t="shared" si="235"/>
        <v>0</v>
      </c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>
        <v>0</v>
      </c>
      <c r="CW119" s="33">
        <v>0</v>
      </c>
      <c r="CX119" s="33"/>
      <c r="CY119" s="33">
        <v>0</v>
      </c>
      <c r="CZ119" s="33">
        <v>0</v>
      </c>
      <c r="DA119" s="34"/>
      <c r="DB119" s="33">
        <v>0</v>
      </c>
      <c r="DC119" s="33">
        <v>0</v>
      </c>
      <c r="DD119" s="33"/>
      <c r="DE119" s="33"/>
      <c r="DF119" s="66"/>
    </row>
    <row r="120" spans="1:110" ht="24.95" customHeight="1">
      <c r="A120" s="89">
        <v>96</v>
      </c>
      <c r="B120" s="74" t="s">
        <v>232</v>
      </c>
      <c r="C120" s="60"/>
      <c r="D120" s="75"/>
      <c r="E120" s="70"/>
      <c r="F120" s="60" t="s">
        <v>256</v>
      </c>
      <c r="G120" s="91">
        <v>0</v>
      </c>
      <c r="H120" s="32">
        <v>617.39999981305846</v>
      </c>
      <c r="I120" s="32">
        <v>0</v>
      </c>
      <c r="J120" s="33"/>
      <c r="K120" s="33">
        <v>0</v>
      </c>
      <c r="L120" s="33">
        <f t="shared" si="226"/>
        <v>0</v>
      </c>
      <c r="M120" s="34"/>
      <c r="N120" s="33">
        <f t="shared" si="227"/>
        <v>0</v>
      </c>
      <c r="O120" s="33">
        <f t="shared" si="228"/>
        <v>0</v>
      </c>
      <c r="P120" s="137">
        <f t="shared" si="236"/>
        <v>0</v>
      </c>
      <c r="Q120" s="34">
        <f t="shared" si="237"/>
        <v>0</v>
      </c>
      <c r="R120" s="33">
        <f t="shared" si="238"/>
        <v>0</v>
      </c>
      <c r="S120" s="36">
        <v>47330</v>
      </c>
      <c r="T120" s="34">
        <v>1000</v>
      </c>
      <c r="U120" s="34">
        <v>617.4</v>
      </c>
      <c r="V120" s="34">
        <v>617400</v>
      </c>
      <c r="W120" s="34">
        <v>1052</v>
      </c>
      <c r="X120" s="34">
        <v>617.39973881787182</v>
      </c>
      <c r="Y120" s="34">
        <v>649504.52523640112</v>
      </c>
      <c r="Z120" s="34"/>
      <c r="AA120" s="33">
        <v>617.39999981305846</v>
      </c>
      <c r="AB120" s="34">
        <f t="shared" si="229"/>
        <v>0</v>
      </c>
      <c r="AC120" s="33">
        <v>52</v>
      </c>
      <c r="AD120" s="33">
        <v>617.39471608463907</v>
      </c>
      <c r="AE120" s="33">
        <v>32104.52523640123</v>
      </c>
      <c r="AF120" s="65">
        <f t="shared" si="230"/>
        <v>1000</v>
      </c>
      <c r="AG120" s="33">
        <f t="shared" si="231"/>
        <v>617.4</v>
      </c>
      <c r="AH120" s="65">
        <f t="shared" si="232"/>
        <v>617400</v>
      </c>
      <c r="AI120" s="33">
        <v>100</v>
      </c>
      <c r="AJ120" s="33">
        <v>617.4</v>
      </c>
      <c r="AK120" s="33">
        <v>61740</v>
      </c>
      <c r="AL120" s="33"/>
      <c r="AM120" s="33"/>
      <c r="AN120" s="33"/>
      <c r="AO120" s="33">
        <v>50</v>
      </c>
      <c r="AP120" s="33">
        <v>617.4</v>
      </c>
      <c r="AQ120" s="33">
        <v>30870</v>
      </c>
      <c r="AR120" s="33">
        <v>50</v>
      </c>
      <c r="AS120" s="33">
        <v>617.4</v>
      </c>
      <c r="AT120" s="33">
        <v>30870</v>
      </c>
      <c r="AU120" s="33">
        <v>50</v>
      </c>
      <c r="AV120" s="33">
        <v>617.4</v>
      </c>
      <c r="AW120" s="33">
        <v>30870</v>
      </c>
      <c r="AX120" s="33">
        <v>250</v>
      </c>
      <c r="AY120" s="33">
        <v>617.4</v>
      </c>
      <c r="AZ120" s="33">
        <v>154350</v>
      </c>
      <c r="BA120" s="33">
        <v>200</v>
      </c>
      <c r="BB120" s="33">
        <v>617.4</v>
      </c>
      <c r="BC120" s="33">
        <v>123480</v>
      </c>
      <c r="BD120" s="33">
        <v>150</v>
      </c>
      <c r="BE120" s="33">
        <v>617.4</v>
      </c>
      <c r="BF120" s="33">
        <v>92610</v>
      </c>
      <c r="BG120" s="33">
        <v>150</v>
      </c>
      <c r="BH120" s="33">
        <v>617.4</v>
      </c>
      <c r="BI120" s="33">
        <v>92610</v>
      </c>
      <c r="BJ120" s="33"/>
      <c r="BK120" s="33">
        <v>0</v>
      </c>
      <c r="BL120" s="33">
        <v>0</v>
      </c>
      <c r="BM120" s="33"/>
      <c r="BN120" s="33">
        <v>0</v>
      </c>
      <c r="BO120" s="33">
        <v>0</v>
      </c>
      <c r="BP120" s="33"/>
      <c r="BQ120" s="33"/>
      <c r="BR120" s="33"/>
      <c r="BT120" s="65">
        <f t="shared" si="233"/>
        <v>1052</v>
      </c>
      <c r="BU120" s="33">
        <f t="shared" si="234"/>
        <v>617.39973881787182</v>
      </c>
      <c r="BV120" s="65">
        <f t="shared" si="235"/>
        <v>649504.52523640112</v>
      </c>
      <c r="BW120" s="33">
        <v>78</v>
      </c>
      <c r="BX120" s="33">
        <v>617.39819234474487</v>
      </c>
      <c r="BY120" s="33">
        <v>48157.059002890099</v>
      </c>
      <c r="BZ120" s="33">
        <v>47</v>
      </c>
      <c r="CA120" s="33">
        <v>617.39819234474487</v>
      </c>
      <c r="CB120" s="33">
        <v>29017.715040203009</v>
      </c>
      <c r="CC120" s="33">
        <v>38</v>
      </c>
      <c r="CD120" s="33">
        <v>617.3993661468586</v>
      </c>
      <c r="CE120" s="33">
        <v>23461.175913580628</v>
      </c>
      <c r="CF120" s="33">
        <v>55</v>
      </c>
      <c r="CG120" s="33">
        <v>617.39972224412907</v>
      </c>
      <c r="CH120" s="33">
        <v>33956.9847234271</v>
      </c>
      <c r="CI120" s="33">
        <v>71</v>
      </c>
      <c r="CJ120" s="33">
        <v>617.39988757500464</v>
      </c>
      <c r="CK120" s="33">
        <v>43835.392017825332</v>
      </c>
      <c r="CL120" s="33">
        <v>184</v>
      </c>
      <c r="CM120" s="33">
        <v>617.39999444287093</v>
      </c>
      <c r="CN120" s="33">
        <v>113601.59897748825</v>
      </c>
      <c r="CO120" s="33">
        <v>220</v>
      </c>
      <c r="CP120" s="33">
        <v>617.39999842647592</v>
      </c>
      <c r="CQ120" s="33">
        <v>135827.99965382469</v>
      </c>
      <c r="CR120" s="33">
        <v>100</v>
      </c>
      <c r="CS120" s="33">
        <v>617.39999955579935</v>
      </c>
      <c r="CT120" s="33">
        <v>61739.999955579937</v>
      </c>
      <c r="CU120" s="33">
        <v>138</v>
      </c>
      <c r="CV120" s="33">
        <v>617.39999981305846</v>
      </c>
      <c r="CW120" s="33">
        <v>85201.199974202071</v>
      </c>
      <c r="CX120" s="33">
        <v>121</v>
      </c>
      <c r="CY120" s="33">
        <v>617.39999981305846</v>
      </c>
      <c r="CZ120" s="33">
        <v>74705.399977380075</v>
      </c>
      <c r="DA120" s="34"/>
      <c r="DB120" s="33">
        <v>0</v>
      </c>
      <c r="DC120" s="33">
        <v>0</v>
      </c>
      <c r="DD120" s="33"/>
      <c r="DE120" s="33"/>
      <c r="DF120" s="66"/>
    </row>
    <row r="121" spans="1:110" ht="24.95" customHeight="1">
      <c r="A121" s="89">
        <v>97</v>
      </c>
      <c r="B121" s="74" t="s">
        <v>241</v>
      </c>
      <c r="C121" s="60"/>
      <c r="D121" s="75" t="s">
        <v>240</v>
      </c>
      <c r="E121" s="70" t="s">
        <v>298</v>
      </c>
      <c r="F121" s="60" t="s">
        <v>196</v>
      </c>
      <c r="G121" s="64">
        <v>0</v>
      </c>
      <c r="H121" s="76">
        <v>8268.75</v>
      </c>
      <c r="I121" s="76">
        <v>0</v>
      </c>
      <c r="J121" s="33"/>
      <c r="K121" s="33">
        <v>0</v>
      </c>
      <c r="L121" s="33">
        <f t="shared" si="226"/>
        <v>0</v>
      </c>
      <c r="M121" s="34"/>
      <c r="N121" s="33">
        <f t="shared" si="227"/>
        <v>0</v>
      </c>
      <c r="O121" s="33">
        <f t="shared" si="228"/>
        <v>0</v>
      </c>
      <c r="P121" s="137">
        <f t="shared" si="236"/>
        <v>0</v>
      </c>
      <c r="Q121" s="34">
        <f t="shared" si="237"/>
        <v>0</v>
      </c>
      <c r="R121" s="33">
        <f t="shared" si="238"/>
        <v>0</v>
      </c>
      <c r="S121" s="36">
        <v>46878</v>
      </c>
      <c r="T121" s="34">
        <v>75</v>
      </c>
      <c r="U121" s="34">
        <v>8268.75</v>
      </c>
      <c r="V121" s="34">
        <v>620156.25</v>
      </c>
      <c r="W121" s="34">
        <v>82</v>
      </c>
      <c r="X121" s="34">
        <v>8268.75</v>
      </c>
      <c r="Y121" s="34">
        <v>678037.5</v>
      </c>
      <c r="Z121" s="34"/>
      <c r="AA121" s="33">
        <v>8268.75</v>
      </c>
      <c r="AB121" s="34">
        <f t="shared" si="229"/>
        <v>0</v>
      </c>
      <c r="AC121" s="33">
        <v>7</v>
      </c>
      <c r="AD121" s="33">
        <v>8268.75</v>
      </c>
      <c r="AE121" s="33">
        <v>57881.25</v>
      </c>
      <c r="AF121" s="65">
        <f t="shared" si="230"/>
        <v>75</v>
      </c>
      <c r="AG121" s="33">
        <f t="shared" si="231"/>
        <v>8268.75</v>
      </c>
      <c r="AH121" s="65">
        <f t="shared" si="232"/>
        <v>620156.25</v>
      </c>
      <c r="AI121" s="33">
        <v>30</v>
      </c>
      <c r="AJ121" s="33">
        <v>8268.75</v>
      </c>
      <c r="AK121" s="33">
        <v>248062.5</v>
      </c>
      <c r="AL121" s="33"/>
      <c r="AM121" s="33"/>
      <c r="AN121" s="33"/>
      <c r="AO121" s="33">
        <v>10</v>
      </c>
      <c r="AP121" s="33">
        <v>8268.75</v>
      </c>
      <c r="AQ121" s="33">
        <v>82687.5</v>
      </c>
      <c r="AR121" s="33"/>
      <c r="AS121" s="33">
        <v>0</v>
      </c>
      <c r="AT121" s="33">
        <v>0</v>
      </c>
      <c r="AU121" s="33">
        <v>15</v>
      </c>
      <c r="AV121" s="33">
        <v>8268.75</v>
      </c>
      <c r="AW121" s="33">
        <v>124031.25</v>
      </c>
      <c r="AX121" s="33">
        <v>20</v>
      </c>
      <c r="AY121" s="33">
        <v>8268.75</v>
      </c>
      <c r="AZ121" s="33">
        <v>165375</v>
      </c>
      <c r="BA121" s="33"/>
      <c r="BB121" s="33">
        <v>0</v>
      </c>
      <c r="BC121" s="33">
        <v>0</v>
      </c>
      <c r="BD121" s="33"/>
      <c r="BE121" s="33"/>
      <c r="BF121" s="33">
        <v>0</v>
      </c>
      <c r="BG121" s="33"/>
      <c r="BH121" s="33"/>
      <c r="BI121" s="33">
        <v>0</v>
      </c>
      <c r="BJ121" s="33"/>
      <c r="BK121" s="33">
        <v>0</v>
      </c>
      <c r="BL121" s="33">
        <v>0</v>
      </c>
      <c r="BM121" s="33"/>
      <c r="BN121" s="33">
        <v>0</v>
      </c>
      <c r="BO121" s="33">
        <v>0</v>
      </c>
      <c r="BP121" s="33"/>
      <c r="BQ121" s="33"/>
      <c r="BR121" s="33"/>
      <c r="BT121" s="65">
        <f t="shared" si="233"/>
        <v>82</v>
      </c>
      <c r="BU121" s="33">
        <f t="shared" si="234"/>
        <v>8268.75</v>
      </c>
      <c r="BV121" s="65">
        <f t="shared" si="235"/>
        <v>678037.5</v>
      </c>
      <c r="BW121" s="33">
        <v>24</v>
      </c>
      <c r="BX121" s="33">
        <v>8268.75</v>
      </c>
      <c r="BY121" s="33">
        <v>198450</v>
      </c>
      <c r="BZ121" s="33">
        <v>7</v>
      </c>
      <c r="CA121" s="33">
        <v>8268.75</v>
      </c>
      <c r="CB121" s="33">
        <v>57881.25</v>
      </c>
      <c r="CC121" s="33">
        <v>16</v>
      </c>
      <c r="CD121" s="33">
        <v>8268.75</v>
      </c>
      <c r="CE121" s="33">
        <v>132300</v>
      </c>
      <c r="CF121" s="33"/>
      <c r="CG121" s="33">
        <v>0</v>
      </c>
      <c r="CH121" s="33">
        <v>0</v>
      </c>
      <c r="CI121" s="33">
        <v>7</v>
      </c>
      <c r="CJ121" s="33">
        <v>8268.75</v>
      </c>
      <c r="CK121" s="33">
        <v>57881.25</v>
      </c>
      <c r="CL121" s="33">
        <v>14</v>
      </c>
      <c r="CM121" s="33">
        <v>8268.75</v>
      </c>
      <c r="CN121" s="33">
        <v>115762.5</v>
      </c>
      <c r="CO121" s="33">
        <v>5</v>
      </c>
      <c r="CP121" s="33">
        <v>8268.75</v>
      </c>
      <c r="CQ121" s="33">
        <v>41343.75</v>
      </c>
      <c r="CR121" s="33">
        <v>1</v>
      </c>
      <c r="CS121" s="33">
        <v>8268.75</v>
      </c>
      <c r="CT121" s="33">
        <v>8268.75</v>
      </c>
      <c r="CU121" s="33">
        <v>5</v>
      </c>
      <c r="CV121" s="33">
        <v>8268.75</v>
      </c>
      <c r="CW121" s="33">
        <v>41343.75</v>
      </c>
      <c r="CX121" s="33">
        <v>3</v>
      </c>
      <c r="CY121" s="33">
        <v>8268.75</v>
      </c>
      <c r="CZ121" s="33">
        <v>24806.25</v>
      </c>
      <c r="DA121" s="34"/>
      <c r="DB121" s="33">
        <v>0</v>
      </c>
      <c r="DC121" s="33">
        <v>0</v>
      </c>
      <c r="DD121" s="33"/>
      <c r="DE121" s="33"/>
      <c r="DF121" s="66"/>
    </row>
    <row r="122" spans="1:110" ht="24.95" customHeight="1">
      <c r="A122" s="89">
        <v>98</v>
      </c>
      <c r="B122" s="74" t="s">
        <v>242</v>
      </c>
      <c r="C122" s="60"/>
      <c r="D122" s="75"/>
      <c r="E122" s="70" t="s">
        <v>298</v>
      </c>
      <c r="F122" s="60" t="s">
        <v>196</v>
      </c>
      <c r="G122" s="64">
        <v>32</v>
      </c>
      <c r="H122" s="76">
        <v>2624.9999998256312</v>
      </c>
      <c r="I122" s="76">
        <v>83999.999994420199</v>
      </c>
      <c r="J122" s="33">
        <v>50</v>
      </c>
      <c r="K122" s="33">
        <v>2625</v>
      </c>
      <c r="L122" s="33">
        <f t="shared" si="226"/>
        <v>131250</v>
      </c>
      <c r="M122" s="34">
        <v>26</v>
      </c>
      <c r="N122" s="33">
        <f t="shared" si="227"/>
        <v>2624.9999999319539</v>
      </c>
      <c r="O122" s="33">
        <f t="shared" si="228"/>
        <v>68249.999998230807</v>
      </c>
      <c r="P122" s="137">
        <f t="shared" si="236"/>
        <v>56</v>
      </c>
      <c r="Q122" s="34">
        <f t="shared" si="237"/>
        <v>2624.9999999319539</v>
      </c>
      <c r="R122" s="33">
        <f t="shared" si="238"/>
        <v>146999.99999618941</v>
      </c>
      <c r="S122" s="36">
        <v>46969</v>
      </c>
      <c r="T122" s="34">
        <v>380</v>
      </c>
      <c r="U122" s="34">
        <v>2625</v>
      </c>
      <c r="V122" s="34">
        <v>997500</v>
      </c>
      <c r="W122" s="34">
        <v>336</v>
      </c>
      <c r="X122" s="34">
        <v>2624.9999018256049</v>
      </c>
      <c r="Y122" s="34">
        <v>881999.96701340331</v>
      </c>
      <c r="Z122" s="34">
        <v>30</v>
      </c>
      <c r="AA122" s="33">
        <v>2624.9999995223811</v>
      </c>
      <c r="AB122" s="34">
        <f t="shared" si="229"/>
        <v>78749.999985671428</v>
      </c>
      <c r="AC122" s="33">
        <v>12</v>
      </c>
      <c r="AD122" s="33">
        <v>2624.9972507993862</v>
      </c>
      <c r="AE122" s="33">
        <v>31499.967009592634</v>
      </c>
      <c r="AF122" s="65">
        <f t="shared" si="230"/>
        <v>380</v>
      </c>
      <c r="AG122" s="33">
        <f t="shared" si="231"/>
        <v>2625</v>
      </c>
      <c r="AH122" s="65">
        <f t="shared" si="232"/>
        <v>997500</v>
      </c>
      <c r="AI122" s="33">
        <v>50</v>
      </c>
      <c r="AJ122" s="33">
        <v>2625</v>
      </c>
      <c r="AK122" s="33">
        <v>131250</v>
      </c>
      <c r="AL122" s="33"/>
      <c r="AM122" s="33"/>
      <c r="AN122" s="33"/>
      <c r="AO122" s="33">
        <v>50</v>
      </c>
      <c r="AP122" s="33">
        <v>2625</v>
      </c>
      <c r="AQ122" s="33">
        <v>131250</v>
      </c>
      <c r="AR122" s="33">
        <v>100</v>
      </c>
      <c r="AS122" s="33">
        <v>2625</v>
      </c>
      <c r="AT122" s="33">
        <v>262500</v>
      </c>
      <c r="AU122" s="33">
        <v>20</v>
      </c>
      <c r="AV122" s="33">
        <v>2625</v>
      </c>
      <c r="AW122" s="33">
        <v>52500</v>
      </c>
      <c r="AX122" s="33">
        <v>20</v>
      </c>
      <c r="AY122" s="33">
        <v>2625</v>
      </c>
      <c r="AZ122" s="33">
        <v>52500</v>
      </c>
      <c r="BA122" s="33">
        <v>10</v>
      </c>
      <c r="BB122" s="33">
        <v>2625</v>
      </c>
      <c r="BC122" s="33">
        <v>26250</v>
      </c>
      <c r="BD122" s="33">
        <v>20</v>
      </c>
      <c r="BE122" s="33">
        <v>2625</v>
      </c>
      <c r="BF122" s="33">
        <v>52500</v>
      </c>
      <c r="BG122" s="33">
        <v>20</v>
      </c>
      <c r="BH122" s="33">
        <v>2625</v>
      </c>
      <c r="BI122" s="33">
        <v>52500</v>
      </c>
      <c r="BJ122" s="33">
        <v>40</v>
      </c>
      <c r="BK122" s="33">
        <v>2625</v>
      </c>
      <c r="BL122" s="33">
        <v>105000</v>
      </c>
      <c r="BM122" s="33">
        <v>50</v>
      </c>
      <c r="BN122" s="33">
        <v>2625</v>
      </c>
      <c r="BO122" s="33">
        <v>131250</v>
      </c>
      <c r="BP122" s="33"/>
      <c r="BQ122" s="33"/>
      <c r="BR122" s="33"/>
      <c r="BT122" s="65">
        <f t="shared" si="233"/>
        <v>336</v>
      </c>
      <c r="BU122" s="33">
        <f t="shared" si="234"/>
        <v>2624.9999018256049</v>
      </c>
      <c r="BV122" s="65">
        <f t="shared" si="235"/>
        <v>881999.96701340331</v>
      </c>
      <c r="BW122" s="33">
        <v>36</v>
      </c>
      <c r="BX122" s="33">
        <v>2624.9994678966555</v>
      </c>
      <c r="BY122" s="33">
        <v>94499.980844279591</v>
      </c>
      <c r="BZ122" s="33">
        <v>19</v>
      </c>
      <c r="CA122" s="33">
        <v>2624.999467896655</v>
      </c>
      <c r="CB122" s="33">
        <v>49874.989890036442</v>
      </c>
      <c r="CC122" s="33">
        <v>45</v>
      </c>
      <c r="CD122" s="33">
        <v>2624.9999346539753</v>
      </c>
      <c r="CE122" s="33">
        <v>118124.99705942889</v>
      </c>
      <c r="CF122" s="33">
        <v>38</v>
      </c>
      <c r="CG122" s="33">
        <v>2624.9999929986402</v>
      </c>
      <c r="CH122" s="33">
        <v>99749.999733948323</v>
      </c>
      <c r="CI122" s="33">
        <v>63</v>
      </c>
      <c r="CJ122" s="33">
        <v>2624.9999944882911</v>
      </c>
      <c r="CK122" s="33">
        <v>165374.99965276234</v>
      </c>
      <c r="CL122" s="33">
        <v>28</v>
      </c>
      <c r="CM122" s="33">
        <v>2624.9999966497458</v>
      </c>
      <c r="CN122" s="33">
        <v>73499.999906192883</v>
      </c>
      <c r="CO122" s="33">
        <v>21</v>
      </c>
      <c r="CP122" s="33">
        <v>2624.9999976649742</v>
      </c>
      <c r="CQ122" s="33">
        <v>55124.999950964455</v>
      </c>
      <c r="CR122" s="33">
        <v>8</v>
      </c>
      <c r="CS122" s="33">
        <v>2624.9999991243653</v>
      </c>
      <c r="CT122" s="33">
        <v>20999.999992994923</v>
      </c>
      <c r="CU122" s="33">
        <v>21</v>
      </c>
      <c r="CV122" s="33">
        <v>2624.9999995223811</v>
      </c>
      <c r="CW122" s="33">
        <v>55124.999989970005</v>
      </c>
      <c r="CX122" s="33">
        <v>31</v>
      </c>
      <c r="CY122" s="33">
        <v>2624.9999998256312</v>
      </c>
      <c r="CZ122" s="33">
        <v>81374.999994594575</v>
      </c>
      <c r="DA122" s="34">
        <v>26</v>
      </c>
      <c r="DB122" s="33">
        <v>2624.9999999319539</v>
      </c>
      <c r="DC122" s="33">
        <v>68249.999998230807</v>
      </c>
      <c r="DD122" s="33"/>
      <c r="DE122" s="33"/>
      <c r="DF122" s="66"/>
    </row>
    <row r="123" spans="1:110" ht="24.95" customHeight="1">
      <c r="A123" s="89">
        <v>99</v>
      </c>
      <c r="B123" s="74" t="s">
        <v>244</v>
      </c>
      <c r="C123" s="60"/>
      <c r="D123" s="75" t="s">
        <v>243</v>
      </c>
      <c r="E123" s="70"/>
      <c r="F123" s="60" t="s">
        <v>196</v>
      </c>
      <c r="G123" s="64">
        <v>0</v>
      </c>
      <c r="H123" s="76">
        <v>0</v>
      </c>
      <c r="I123" s="76">
        <v>0</v>
      </c>
      <c r="J123" s="33"/>
      <c r="K123" s="33">
        <v>0</v>
      </c>
      <c r="L123" s="33">
        <f t="shared" si="226"/>
        <v>0</v>
      </c>
      <c r="M123" s="34"/>
      <c r="N123" s="33">
        <f t="shared" si="227"/>
        <v>0</v>
      </c>
      <c r="O123" s="33">
        <f t="shared" si="228"/>
        <v>0</v>
      </c>
      <c r="P123" s="137">
        <f t="shared" si="236"/>
        <v>0</v>
      </c>
      <c r="Q123" s="34">
        <f t="shared" si="237"/>
        <v>0</v>
      </c>
      <c r="R123" s="33">
        <f t="shared" si="238"/>
        <v>0</v>
      </c>
      <c r="S123" s="36">
        <v>46294</v>
      </c>
      <c r="T123" s="34">
        <v>0</v>
      </c>
      <c r="U123" s="34">
        <v>0</v>
      </c>
      <c r="V123" s="34">
        <v>0</v>
      </c>
      <c r="W123" s="34">
        <v>0</v>
      </c>
      <c r="X123" s="34">
        <v>0</v>
      </c>
      <c r="Y123" s="34">
        <v>0</v>
      </c>
      <c r="Z123" s="34"/>
      <c r="AA123" s="33">
        <v>0</v>
      </c>
      <c r="AB123" s="34">
        <f t="shared" si="229"/>
        <v>0</v>
      </c>
      <c r="AC123" s="33"/>
      <c r="AD123" s="33"/>
      <c r="AE123" s="33"/>
      <c r="AF123" s="65">
        <f t="shared" si="230"/>
        <v>0</v>
      </c>
      <c r="AG123" s="33">
        <f t="shared" si="231"/>
        <v>0</v>
      </c>
      <c r="AH123" s="65">
        <f t="shared" si="232"/>
        <v>0</v>
      </c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>
        <v>0</v>
      </c>
      <c r="BJ123" s="33"/>
      <c r="BK123" s="33">
        <v>0</v>
      </c>
      <c r="BL123" s="33">
        <v>0</v>
      </c>
      <c r="BM123" s="33"/>
      <c r="BN123" s="33">
        <v>0</v>
      </c>
      <c r="BO123" s="33">
        <v>0</v>
      </c>
      <c r="BP123" s="33"/>
      <c r="BQ123" s="33"/>
      <c r="BR123" s="33"/>
      <c r="BT123" s="65">
        <f t="shared" si="233"/>
        <v>0</v>
      </c>
      <c r="BU123" s="33">
        <f t="shared" si="234"/>
        <v>0</v>
      </c>
      <c r="BV123" s="65">
        <f t="shared" si="235"/>
        <v>0</v>
      </c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>
        <v>0</v>
      </c>
      <c r="CW123" s="33">
        <v>0</v>
      </c>
      <c r="CX123" s="33"/>
      <c r="CY123" s="33">
        <v>0</v>
      </c>
      <c r="CZ123" s="33">
        <v>0</v>
      </c>
      <c r="DA123" s="34"/>
      <c r="DB123" s="33">
        <v>0</v>
      </c>
      <c r="DC123" s="33">
        <v>0</v>
      </c>
      <c r="DD123" s="33"/>
      <c r="DE123" s="33"/>
      <c r="DF123" s="66"/>
    </row>
    <row r="124" spans="1:110" ht="24.95" customHeight="1">
      <c r="A124" s="89">
        <v>100</v>
      </c>
      <c r="B124" s="74" t="s">
        <v>233</v>
      </c>
      <c r="C124" s="60"/>
      <c r="D124" s="75"/>
      <c r="E124" s="70" t="s">
        <v>154</v>
      </c>
      <c r="F124" s="60" t="s">
        <v>196</v>
      </c>
      <c r="G124" s="64">
        <v>50</v>
      </c>
      <c r="H124" s="76">
        <v>6835.499508995561</v>
      </c>
      <c r="I124" s="76">
        <v>341774.97544977802</v>
      </c>
      <c r="J124" s="33">
        <v>50</v>
      </c>
      <c r="K124" s="33">
        <v>6835.5</v>
      </c>
      <c r="L124" s="33">
        <f t="shared" si="226"/>
        <v>341775</v>
      </c>
      <c r="M124" s="34">
        <v>35</v>
      </c>
      <c r="N124" s="33">
        <f t="shared" si="227"/>
        <v>6835.4997544977805</v>
      </c>
      <c r="O124" s="33">
        <f t="shared" si="228"/>
        <v>239242.49140742232</v>
      </c>
      <c r="P124" s="137">
        <f t="shared" si="236"/>
        <v>65</v>
      </c>
      <c r="Q124" s="34">
        <f t="shared" si="237"/>
        <v>6835.4997544977805</v>
      </c>
      <c r="R124" s="33">
        <f t="shared" si="238"/>
        <v>444307.48404235573</v>
      </c>
      <c r="S124" s="36">
        <v>46563</v>
      </c>
      <c r="T124" s="34">
        <v>300</v>
      </c>
      <c r="U124" s="34">
        <v>6835.5</v>
      </c>
      <c r="V124" s="34">
        <v>2050650</v>
      </c>
      <c r="W124" s="34">
        <v>257</v>
      </c>
      <c r="X124" s="34">
        <v>6835.2579509271454</v>
      </c>
      <c r="Y124" s="34">
        <v>1756661.2933882764</v>
      </c>
      <c r="Z124" s="34">
        <v>30</v>
      </c>
      <c r="AA124" s="33">
        <v>6835.4989634350741</v>
      </c>
      <c r="AB124" s="34">
        <f t="shared" si="229"/>
        <v>205064.96890305221</v>
      </c>
      <c r="AC124" s="33">
        <v>22</v>
      </c>
      <c r="AD124" s="33">
        <v>6832.6717013923662</v>
      </c>
      <c r="AE124" s="33">
        <v>150318.77743063206</v>
      </c>
      <c r="AF124" s="65">
        <f t="shared" si="230"/>
        <v>300</v>
      </c>
      <c r="AG124" s="33">
        <f t="shared" si="231"/>
        <v>6835.5</v>
      </c>
      <c r="AH124" s="65">
        <f t="shared" si="232"/>
        <v>2050650</v>
      </c>
      <c r="AI124" s="33">
        <v>50</v>
      </c>
      <c r="AJ124" s="33">
        <v>6835.5</v>
      </c>
      <c r="AK124" s="33">
        <v>341775</v>
      </c>
      <c r="AL124" s="33"/>
      <c r="AM124" s="33"/>
      <c r="AN124" s="33"/>
      <c r="AO124" s="33">
        <v>40</v>
      </c>
      <c r="AP124" s="33">
        <v>6835.5</v>
      </c>
      <c r="AQ124" s="33">
        <v>273420</v>
      </c>
      <c r="AR124" s="33">
        <v>30</v>
      </c>
      <c r="AS124" s="33">
        <v>6835.5</v>
      </c>
      <c r="AT124" s="33">
        <v>205065</v>
      </c>
      <c r="AU124" s="33">
        <v>20</v>
      </c>
      <c r="AV124" s="33">
        <v>6835.5</v>
      </c>
      <c r="AW124" s="33">
        <v>136710</v>
      </c>
      <c r="AX124" s="33">
        <v>20</v>
      </c>
      <c r="AY124" s="33">
        <v>6835.5</v>
      </c>
      <c r="AZ124" s="33">
        <v>136710</v>
      </c>
      <c r="BA124" s="33">
        <v>20</v>
      </c>
      <c r="BB124" s="33">
        <v>6835.5</v>
      </c>
      <c r="BC124" s="33">
        <v>136710</v>
      </c>
      <c r="BD124" s="33">
        <v>10</v>
      </c>
      <c r="BE124" s="33">
        <v>6835.5</v>
      </c>
      <c r="BF124" s="33">
        <v>68355</v>
      </c>
      <c r="BG124" s="33">
        <v>20</v>
      </c>
      <c r="BH124" s="33">
        <v>6835.5</v>
      </c>
      <c r="BI124" s="33">
        <v>136710</v>
      </c>
      <c r="BJ124" s="33">
        <v>40</v>
      </c>
      <c r="BK124" s="33">
        <v>6835.5</v>
      </c>
      <c r="BL124" s="33">
        <v>273420</v>
      </c>
      <c r="BM124" s="33">
        <v>50</v>
      </c>
      <c r="BN124" s="33">
        <v>6835.5</v>
      </c>
      <c r="BO124" s="33">
        <v>341775</v>
      </c>
      <c r="BP124" s="33"/>
      <c r="BQ124" s="33"/>
      <c r="BR124" s="33"/>
      <c r="BT124" s="65">
        <f t="shared" si="233"/>
        <v>257</v>
      </c>
      <c r="BU124" s="33">
        <f t="shared" si="234"/>
        <v>6835.2579509271454</v>
      </c>
      <c r="BV124" s="65">
        <f t="shared" si="235"/>
        <v>1756661.2933882764</v>
      </c>
      <c r="BW124" s="33">
        <v>38</v>
      </c>
      <c r="BX124" s="33">
        <v>6834.6357976476675</v>
      </c>
      <c r="BY124" s="33">
        <v>259716.16031061136</v>
      </c>
      <c r="BZ124" s="33">
        <v>24</v>
      </c>
      <c r="CA124" s="33">
        <v>6834.6357976476675</v>
      </c>
      <c r="CB124" s="33">
        <v>164031.25914354401</v>
      </c>
      <c r="CC124" s="33">
        <v>38</v>
      </c>
      <c r="CD124" s="33">
        <v>6835.3271595295337</v>
      </c>
      <c r="CE124" s="33">
        <v>259742.43206212227</v>
      </c>
      <c r="CF124" s="33">
        <v>37</v>
      </c>
      <c r="CG124" s="33">
        <v>6835.4506170084378</v>
      </c>
      <c r="CH124" s="33">
        <v>252911.67282931219</v>
      </c>
      <c r="CI124" s="33">
        <v>11</v>
      </c>
      <c r="CJ124" s="33">
        <v>6835.490123401687</v>
      </c>
      <c r="CK124" s="33">
        <v>75190.391357418557</v>
      </c>
      <c r="CL124" s="33">
        <v>9</v>
      </c>
      <c r="CM124" s="33">
        <v>6835.4959331654009</v>
      </c>
      <c r="CN124" s="33">
        <v>61519.46339848861</v>
      </c>
      <c r="CO124" s="33">
        <v>17</v>
      </c>
      <c r="CP124" s="33">
        <v>6835.4977406474454</v>
      </c>
      <c r="CQ124" s="33">
        <v>116203.46159100658</v>
      </c>
      <c r="CR124" s="33">
        <v>5</v>
      </c>
      <c r="CS124" s="33">
        <v>6835.498335213907</v>
      </c>
      <c r="CT124" s="33">
        <v>34177.491676069534</v>
      </c>
      <c r="CU124" s="33">
        <v>17</v>
      </c>
      <c r="CV124" s="33">
        <v>6835.4989634350741</v>
      </c>
      <c r="CW124" s="33">
        <v>116203.48237839626</v>
      </c>
      <c r="CX124" s="33">
        <v>26</v>
      </c>
      <c r="CY124" s="33">
        <v>6835.499508995561</v>
      </c>
      <c r="CZ124" s="33">
        <v>177722.98723388457</v>
      </c>
      <c r="DA124" s="34">
        <v>35</v>
      </c>
      <c r="DB124" s="33">
        <v>6835.4997544977805</v>
      </c>
      <c r="DC124" s="33">
        <v>239242.49140742232</v>
      </c>
      <c r="DD124" s="33"/>
      <c r="DE124" s="33"/>
      <c r="DF124" s="66"/>
    </row>
    <row r="125" spans="1:110" ht="24.95" customHeight="1">
      <c r="A125" s="89">
        <v>101</v>
      </c>
      <c r="B125" s="74" t="s">
        <v>234</v>
      </c>
      <c r="C125" s="60"/>
      <c r="D125" s="75"/>
      <c r="E125" s="70"/>
      <c r="F125" s="60" t="s">
        <v>257</v>
      </c>
      <c r="G125" s="64">
        <v>0</v>
      </c>
      <c r="H125" s="76">
        <v>0</v>
      </c>
      <c r="I125" s="76">
        <v>0</v>
      </c>
      <c r="J125" s="33"/>
      <c r="K125" s="33">
        <v>0</v>
      </c>
      <c r="L125" s="33">
        <f t="shared" ref="L125:L159" si="239">J125*K125</f>
        <v>0</v>
      </c>
      <c r="M125" s="34"/>
      <c r="N125" s="33">
        <f t="shared" si="227"/>
        <v>0</v>
      </c>
      <c r="O125" s="33">
        <f t="shared" si="228"/>
        <v>0</v>
      </c>
      <c r="P125" s="137">
        <f t="shared" si="236"/>
        <v>0</v>
      </c>
      <c r="Q125" s="34">
        <f t="shared" si="237"/>
        <v>0</v>
      </c>
      <c r="R125" s="33">
        <f t="shared" ref="R125:R159" si="240">P125*Q125</f>
        <v>0</v>
      </c>
      <c r="S125" s="36">
        <v>46037</v>
      </c>
      <c r="T125" s="34">
        <v>0</v>
      </c>
      <c r="U125" s="34">
        <v>0</v>
      </c>
      <c r="V125" s="34">
        <v>0</v>
      </c>
      <c r="W125" s="34">
        <v>0</v>
      </c>
      <c r="X125" s="34">
        <v>0</v>
      </c>
      <c r="Y125" s="34">
        <v>0</v>
      </c>
      <c r="Z125" s="34"/>
      <c r="AA125" s="33">
        <v>0</v>
      </c>
      <c r="AB125" s="34">
        <f t="shared" si="229"/>
        <v>0</v>
      </c>
      <c r="AC125" s="33"/>
      <c r="AD125" s="33"/>
      <c r="AE125" s="33"/>
      <c r="AF125" s="65">
        <f t="shared" si="230"/>
        <v>0</v>
      </c>
      <c r="AG125" s="33">
        <f t="shared" si="231"/>
        <v>0</v>
      </c>
      <c r="AH125" s="65">
        <f t="shared" si="232"/>
        <v>0</v>
      </c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>
        <v>0</v>
      </c>
      <c r="BJ125" s="33"/>
      <c r="BK125" s="33">
        <v>0</v>
      </c>
      <c r="BL125" s="33">
        <v>0</v>
      </c>
      <c r="BM125" s="33"/>
      <c r="BN125" s="33">
        <v>0</v>
      </c>
      <c r="BO125" s="33">
        <v>0</v>
      </c>
      <c r="BP125" s="33"/>
      <c r="BQ125" s="33"/>
      <c r="BR125" s="33"/>
      <c r="BT125" s="65">
        <f t="shared" si="233"/>
        <v>0</v>
      </c>
      <c r="BU125" s="33">
        <f t="shared" si="234"/>
        <v>0</v>
      </c>
      <c r="BV125" s="65">
        <f t="shared" si="235"/>
        <v>0</v>
      </c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>
        <v>0</v>
      </c>
      <c r="CW125" s="33">
        <v>0</v>
      </c>
      <c r="CX125" s="33"/>
      <c r="CY125" s="33">
        <v>0</v>
      </c>
      <c r="CZ125" s="33">
        <v>0</v>
      </c>
      <c r="DA125" s="33"/>
      <c r="DB125" s="33">
        <v>0</v>
      </c>
      <c r="DC125" s="33">
        <v>0</v>
      </c>
      <c r="DD125" s="33"/>
      <c r="DE125" s="33"/>
      <c r="DF125" s="66"/>
    </row>
    <row r="126" spans="1:110" ht="24.95" customHeight="1">
      <c r="A126" s="89">
        <v>102</v>
      </c>
      <c r="B126" s="74" t="s">
        <v>252</v>
      </c>
      <c r="C126" s="60"/>
      <c r="D126" s="75"/>
      <c r="E126" s="70"/>
      <c r="F126" s="60" t="s">
        <v>256</v>
      </c>
      <c r="G126" s="64">
        <v>0</v>
      </c>
      <c r="H126" s="76">
        <v>0</v>
      </c>
      <c r="I126" s="76">
        <v>0</v>
      </c>
      <c r="J126" s="33"/>
      <c r="K126" s="33">
        <v>0</v>
      </c>
      <c r="L126" s="33">
        <f t="shared" si="239"/>
        <v>0</v>
      </c>
      <c r="M126" s="34"/>
      <c r="N126" s="33">
        <f t="shared" si="227"/>
        <v>0</v>
      </c>
      <c r="O126" s="33">
        <f t="shared" si="228"/>
        <v>0</v>
      </c>
      <c r="P126" s="137">
        <f t="shared" si="236"/>
        <v>0</v>
      </c>
      <c r="Q126" s="34">
        <f t="shared" si="237"/>
        <v>0</v>
      </c>
      <c r="R126" s="33">
        <f t="shared" si="240"/>
        <v>0</v>
      </c>
      <c r="S126" s="36"/>
      <c r="T126" s="34">
        <v>0</v>
      </c>
      <c r="U126" s="34">
        <v>0</v>
      </c>
      <c r="V126" s="34">
        <v>0</v>
      </c>
      <c r="W126" s="34">
        <v>0</v>
      </c>
      <c r="X126" s="34">
        <v>0</v>
      </c>
      <c r="Y126" s="34">
        <v>0</v>
      </c>
      <c r="Z126" s="34"/>
      <c r="AA126" s="33">
        <v>0</v>
      </c>
      <c r="AB126" s="34">
        <f t="shared" si="229"/>
        <v>0</v>
      </c>
      <c r="AC126" s="33"/>
      <c r="AD126" s="33"/>
      <c r="AE126" s="33"/>
      <c r="AF126" s="65">
        <f t="shared" si="230"/>
        <v>0</v>
      </c>
      <c r="AG126" s="33">
        <f t="shared" si="231"/>
        <v>0</v>
      </c>
      <c r="AH126" s="65">
        <f t="shared" si="232"/>
        <v>0</v>
      </c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>
        <v>0</v>
      </c>
      <c r="BJ126" s="33"/>
      <c r="BK126" s="33">
        <v>0</v>
      </c>
      <c r="BL126" s="33">
        <v>0</v>
      </c>
      <c r="BM126" s="33"/>
      <c r="BN126" s="33">
        <v>0</v>
      </c>
      <c r="BO126" s="33">
        <v>0</v>
      </c>
      <c r="BP126" s="33"/>
      <c r="BQ126" s="33"/>
      <c r="BR126" s="33"/>
      <c r="BT126" s="65">
        <f t="shared" si="233"/>
        <v>0</v>
      </c>
      <c r="BU126" s="33">
        <f t="shared" si="234"/>
        <v>0</v>
      </c>
      <c r="BV126" s="65">
        <f t="shared" si="235"/>
        <v>0</v>
      </c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>
        <v>0</v>
      </c>
      <c r="CW126" s="33">
        <v>0</v>
      </c>
      <c r="CX126" s="33"/>
      <c r="CY126" s="33">
        <v>0</v>
      </c>
      <c r="CZ126" s="33">
        <v>0</v>
      </c>
      <c r="DA126" s="33"/>
      <c r="DB126" s="33">
        <v>0</v>
      </c>
      <c r="DC126" s="33">
        <v>0</v>
      </c>
      <c r="DD126" s="33"/>
      <c r="DE126" s="33"/>
      <c r="DF126" s="66"/>
    </row>
    <row r="127" spans="1:110" ht="24.95" customHeight="1">
      <c r="A127" s="89">
        <v>103</v>
      </c>
      <c r="B127" s="74" t="s">
        <v>258</v>
      </c>
      <c r="C127" s="60"/>
      <c r="D127" s="75"/>
      <c r="E127" s="70" t="s">
        <v>292</v>
      </c>
      <c r="F127" s="60" t="s">
        <v>253</v>
      </c>
      <c r="G127" s="64">
        <v>0</v>
      </c>
      <c r="H127" s="76">
        <v>0</v>
      </c>
      <c r="I127" s="76">
        <v>0</v>
      </c>
      <c r="J127" s="33"/>
      <c r="K127" s="33">
        <v>0</v>
      </c>
      <c r="L127" s="33">
        <f t="shared" si="239"/>
        <v>0</v>
      </c>
      <c r="M127" s="34"/>
      <c r="N127" s="33">
        <f t="shared" si="227"/>
        <v>0</v>
      </c>
      <c r="O127" s="33">
        <f t="shared" si="228"/>
        <v>0</v>
      </c>
      <c r="P127" s="137">
        <f t="shared" si="236"/>
        <v>0</v>
      </c>
      <c r="Q127" s="34">
        <f t="shared" si="237"/>
        <v>0</v>
      </c>
      <c r="R127" s="33">
        <f t="shared" si="240"/>
        <v>0</v>
      </c>
      <c r="S127" s="36">
        <v>46996</v>
      </c>
      <c r="T127" s="34">
        <v>76</v>
      </c>
      <c r="U127" s="34">
        <v>20286</v>
      </c>
      <c r="V127" s="34">
        <v>1541736</v>
      </c>
      <c r="W127" s="34">
        <v>76</v>
      </c>
      <c r="X127" s="34">
        <v>20286</v>
      </c>
      <c r="Y127" s="34">
        <v>1541736</v>
      </c>
      <c r="Z127" s="34"/>
      <c r="AA127" s="33">
        <v>0</v>
      </c>
      <c r="AB127" s="34">
        <f t="shared" si="229"/>
        <v>0</v>
      </c>
      <c r="AC127" s="33"/>
      <c r="AD127" s="33"/>
      <c r="AE127" s="33"/>
      <c r="AF127" s="65">
        <f t="shared" si="230"/>
        <v>76</v>
      </c>
      <c r="AG127" s="33">
        <f t="shared" si="231"/>
        <v>20286</v>
      </c>
      <c r="AH127" s="65">
        <f t="shared" si="232"/>
        <v>1541736</v>
      </c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>
        <v>76</v>
      </c>
      <c r="AV127" s="33">
        <v>20286</v>
      </c>
      <c r="AW127" s="33">
        <v>1541736</v>
      </c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>
        <v>0</v>
      </c>
      <c r="BJ127" s="33"/>
      <c r="BK127" s="33">
        <v>0</v>
      </c>
      <c r="BL127" s="33">
        <v>0</v>
      </c>
      <c r="BM127" s="33"/>
      <c r="BN127" s="33">
        <v>0</v>
      </c>
      <c r="BO127" s="33">
        <v>0</v>
      </c>
      <c r="BP127" s="33"/>
      <c r="BQ127" s="33"/>
      <c r="BR127" s="33"/>
      <c r="BT127" s="65">
        <f t="shared" si="233"/>
        <v>76</v>
      </c>
      <c r="BU127" s="33">
        <f t="shared" si="234"/>
        <v>20286</v>
      </c>
      <c r="BV127" s="65">
        <f t="shared" si="235"/>
        <v>1541736</v>
      </c>
      <c r="BW127" s="33">
        <v>0</v>
      </c>
      <c r="BX127" s="33">
        <v>0</v>
      </c>
      <c r="BY127" s="33">
        <v>0</v>
      </c>
      <c r="BZ127" s="33">
        <v>0</v>
      </c>
      <c r="CA127" s="33">
        <v>0</v>
      </c>
      <c r="CB127" s="33">
        <v>0</v>
      </c>
      <c r="CC127" s="33">
        <v>0</v>
      </c>
      <c r="CD127" s="33">
        <v>0</v>
      </c>
      <c r="CE127" s="33">
        <v>0</v>
      </c>
      <c r="CF127" s="33">
        <v>0</v>
      </c>
      <c r="CG127" s="33">
        <v>0</v>
      </c>
      <c r="CH127" s="33">
        <v>0</v>
      </c>
      <c r="CI127" s="33">
        <v>76</v>
      </c>
      <c r="CJ127" s="33">
        <v>20286</v>
      </c>
      <c r="CK127" s="33">
        <v>1541736</v>
      </c>
      <c r="CL127" s="33"/>
      <c r="CM127" s="33">
        <v>0</v>
      </c>
      <c r="CN127" s="33">
        <v>0</v>
      </c>
      <c r="CO127" s="33"/>
      <c r="CP127" s="33">
        <v>0</v>
      </c>
      <c r="CQ127" s="33">
        <v>0</v>
      </c>
      <c r="CR127" s="33"/>
      <c r="CS127" s="33">
        <v>0</v>
      </c>
      <c r="CT127" s="33">
        <v>0</v>
      </c>
      <c r="CU127" s="33"/>
      <c r="CV127" s="33">
        <v>0</v>
      </c>
      <c r="CW127" s="33">
        <v>0</v>
      </c>
      <c r="CX127" s="33"/>
      <c r="CY127" s="33">
        <v>0</v>
      </c>
      <c r="CZ127" s="33">
        <v>0</v>
      </c>
      <c r="DA127" s="33"/>
      <c r="DB127" s="33">
        <v>0</v>
      </c>
      <c r="DC127" s="33">
        <v>0</v>
      </c>
      <c r="DD127" s="33">
        <v>0</v>
      </c>
      <c r="DE127" s="33">
        <v>0</v>
      </c>
      <c r="DF127" s="66">
        <v>0</v>
      </c>
    </row>
    <row r="128" spans="1:110" ht="24.95" customHeight="1">
      <c r="A128" s="89">
        <v>104</v>
      </c>
      <c r="B128" s="74" t="s">
        <v>259</v>
      </c>
      <c r="C128" s="60"/>
      <c r="D128" s="75"/>
      <c r="E128" s="70" t="s">
        <v>293</v>
      </c>
      <c r="F128" s="60" t="s">
        <v>253</v>
      </c>
      <c r="G128" s="64">
        <v>0</v>
      </c>
      <c r="H128" s="76">
        <v>0</v>
      </c>
      <c r="I128" s="76">
        <v>0</v>
      </c>
      <c r="J128" s="33"/>
      <c r="K128" s="33">
        <v>0</v>
      </c>
      <c r="L128" s="33">
        <f t="shared" si="239"/>
        <v>0</v>
      </c>
      <c r="M128" s="34"/>
      <c r="N128" s="33">
        <f t="shared" si="227"/>
        <v>0</v>
      </c>
      <c r="O128" s="33">
        <f t="shared" si="228"/>
        <v>0</v>
      </c>
      <c r="P128" s="137">
        <f t="shared" si="236"/>
        <v>0</v>
      </c>
      <c r="Q128" s="34">
        <f t="shared" si="237"/>
        <v>0</v>
      </c>
      <c r="R128" s="33">
        <f t="shared" si="240"/>
        <v>0</v>
      </c>
      <c r="S128" s="36">
        <v>46873</v>
      </c>
      <c r="T128" s="34">
        <v>114</v>
      </c>
      <c r="U128" s="34">
        <v>1378.65</v>
      </c>
      <c r="V128" s="34">
        <v>157166.1</v>
      </c>
      <c r="W128" s="34">
        <v>114</v>
      </c>
      <c r="X128" s="34">
        <v>1378.65</v>
      </c>
      <c r="Y128" s="34">
        <v>157166.1</v>
      </c>
      <c r="Z128" s="34"/>
      <c r="AA128" s="33">
        <v>0</v>
      </c>
      <c r="AB128" s="34">
        <f t="shared" si="229"/>
        <v>0</v>
      </c>
      <c r="AC128" s="33"/>
      <c r="AD128" s="33"/>
      <c r="AE128" s="33"/>
      <c r="AF128" s="65">
        <f t="shared" si="230"/>
        <v>114</v>
      </c>
      <c r="AG128" s="33">
        <f t="shared" si="231"/>
        <v>1378.65</v>
      </c>
      <c r="AH128" s="65">
        <f t="shared" si="232"/>
        <v>157166.1</v>
      </c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>
        <v>114</v>
      </c>
      <c r="AV128" s="33">
        <v>1378.65</v>
      </c>
      <c r="AW128" s="33">
        <v>157166.1</v>
      </c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>
        <v>0</v>
      </c>
      <c r="BJ128" s="33"/>
      <c r="BK128" s="33">
        <v>0</v>
      </c>
      <c r="BL128" s="33">
        <v>0</v>
      </c>
      <c r="BM128" s="33"/>
      <c r="BN128" s="33">
        <v>0</v>
      </c>
      <c r="BO128" s="33">
        <v>0</v>
      </c>
      <c r="BP128" s="33"/>
      <c r="BQ128" s="33"/>
      <c r="BR128" s="33"/>
      <c r="BT128" s="65">
        <f t="shared" si="233"/>
        <v>114</v>
      </c>
      <c r="BU128" s="33">
        <f t="shared" si="234"/>
        <v>1378.65</v>
      </c>
      <c r="BV128" s="65">
        <f t="shared" si="235"/>
        <v>157166.1</v>
      </c>
      <c r="BW128" s="33">
        <v>0</v>
      </c>
      <c r="BX128" s="33">
        <v>0</v>
      </c>
      <c r="BY128" s="33">
        <v>0</v>
      </c>
      <c r="BZ128" s="33">
        <v>0</v>
      </c>
      <c r="CA128" s="33">
        <v>0</v>
      </c>
      <c r="CB128" s="33">
        <v>0</v>
      </c>
      <c r="CC128" s="33">
        <v>0</v>
      </c>
      <c r="CD128" s="33">
        <v>0</v>
      </c>
      <c r="CE128" s="33">
        <v>0</v>
      </c>
      <c r="CF128" s="33">
        <v>0</v>
      </c>
      <c r="CG128" s="33">
        <v>0</v>
      </c>
      <c r="CH128" s="33">
        <v>0</v>
      </c>
      <c r="CI128" s="33">
        <v>114</v>
      </c>
      <c r="CJ128" s="33">
        <v>1378.65</v>
      </c>
      <c r="CK128" s="33">
        <v>157166.1</v>
      </c>
      <c r="CL128" s="33"/>
      <c r="CM128" s="33">
        <v>0</v>
      </c>
      <c r="CN128" s="33">
        <v>0</v>
      </c>
      <c r="CO128" s="33"/>
      <c r="CP128" s="33">
        <v>0</v>
      </c>
      <c r="CQ128" s="33">
        <v>0</v>
      </c>
      <c r="CR128" s="33"/>
      <c r="CS128" s="33">
        <v>0</v>
      </c>
      <c r="CT128" s="33">
        <v>0</v>
      </c>
      <c r="CU128" s="33"/>
      <c r="CV128" s="33">
        <v>0</v>
      </c>
      <c r="CW128" s="33">
        <v>0</v>
      </c>
      <c r="CX128" s="33"/>
      <c r="CY128" s="33">
        <v>0</v>
      </c>
      <c r="CZ128" s="33">
        <v>0</v>
      </c>
      <c r="DA128" s="33"/>
      <c r="DB128" s="33">
        <v>0</v>
      </c>
      <c r="DC128" s="33">
        <v>0</v>
      </c>
      <c r="DD128" s="33">
        <v>0</v>
      </c>
      <c r="DE128" s="33">
        <v>0</v>
      </c>
      <c r="DF128" s="66">
        <v>0</v>
      </c>
    </row>
    <row r="129" spans="1:110" ht="24.95" customHeight="1">
      <c r="A129" s="89">
        <v>105</v>
      </c>
      <c r="B129" s="74" t="s">
        <v>260</v>
      </c>
      <c r="C129" s="60"/>
      <c r="D129" s="75"/>
      <c r="E129" s="70" t="s">
        <v>293</v>
      </c>
      <c r="F129" s="60" t="s">
        <v>253</v>
      </c>
      <c r="G129" s="64">
        <v>0</v>
      </c>
      <c r="H129" s="76">
        <v>0</v>
      </c>
      <c r="I129" s="76">
        <v>0</v>
      </c>
      <c r="J129" s="33"/>
      <c r="K129" s="33">
        <v>0</v>
      </c>
      <c r="L129" s="33">
        <f t="shared" si="239"/>
        <v>0</v>
      </c>
      <c r="M129" s="34"/>
      <c r="N129" s="33">
        <f t="shared" si="227"/>
        <v>0</v>
      </c>
      <c r="O129" s="33">
        <f t="shared" si="228"/>
        <v>0</v>
      </c>
      <c r="P129" s="137">
        <f t="shared" si="236"/>
        <v>0</v>
      </c>
      <c r="Q129" s="34">
        <f t="shared" si="237"/>
        <v>0</v>
      </c>
      <c r="R129" s="33">
        <f t="shared" si="240"/>
        <v>0</v>
      </c>
      <c r="S129" s="36">
        <v>46446</v>
      </c>
      <c r="T129" s="34">
        <v>114</v>
      </c>
      <c r="U129" s="34">
        <v>1785</v>
      </c>
      <c r="V129" s="34">
        <v>203490</v>
      </c>
      <c r="W129" s="34">
        <v>114</v>
      </c>
      <c r="X129" s="34">
        <v>1785</v>
      </c>
      <c r="Y129" s="34">
        <v>203490</v>
      </c>
      <c r="Z129" s="34"/>
      <c r="AA129" s="33">
        <v>0</v>
      </c>
      <c r="AB129" s="34">
        <f t="shared" si="229"/>
        <v>0</v>
      </c>
      <c r="AC129" s="33"/>
      <c r="AD129" s="33"/>
      <c r="AE129" s="33"/>
      <c r="AF129" s="65">
        <f t="shared" si="230"/>
        <v>114</v>
      </c>
      <c r="AG129" s="33">
        <f t="shared" si="231"/>
        <v>1785</v>
      </c>
      <c r="AH129" s="65">
        <f t="shared" si="232"/>
        <v>203490</v>
      </c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>
        <v>114</v>
      </c>
      <c r="AV129" s="33">
        <v>1785</v>
      </c>
      <c r="AW129" s="33">
        <v>203490</v>
      </c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>
        <v>0</v>
      </c>
      <c r="BJ129" s="33"/>
      <c r="BK129" s="33">
        <v>0</v>
      </c>
      <c r="BL129" s="33">
        <v>0</v>
      </c>
      <c r="BM129" s="33"/>
      <c r="BN129" s="33">
        <v>0</v>
      </c>
      <c r="BO129" s="33">
        <v>0</v>
      </c>
      <c r="BP129" s="33"/>
      <c r="BQ129" s="33"/>
      <c r="BR129" s="33"/>
      <c r="BT129" s="65">
        <f t="shared" si="233"/>
        <v>114</v>
      </c>
      <c r="BU129" s="33">
        <f t="shared" si="234"/>
        <v>1785</v>
      </c>
      <c r="BV129" s="65">
        <f t="shared" si="235"/>
        <v>203490</v>
      </c>
      <c r="BW129" s="33">
        <v>0</v>
      </c>
      <c r="BX129" s="33">
        <v>0</v>
      </c>
      <c r="BY129" s="33">
        <v>0</v>
      </c>
      <c r="BZ129" s="33">
        <v>0</v>
      </c>
      <c r="CA129" s="33">
        <v>0</v>
      </c>
      <c r="CB129" s="33">
        <v>0</v>
      </c>
      <c r="CC129" s="33">
        <v>0</v>
      </c>
      <c r="CD129" s="33">
        <v>0</v>
      </c>
      <c r="CE129" s="33">
        <v>0</v>
      </c>
      <c r="CF129" s="33">
        <v>0</v>
      </c>
      <c r="CG129" s="33">
        <v>0</v>
      </c>
      <c r="CH129" s="33">
        <v>0</v>
      </c>
      <c r="CI129" s="33">
        <v>114</v>
      </c>
      <c r="CJ129" s="33">
        <v>1785</v>
      </c>
      <c r="CK129" s="33">
        <v>203490</v>
      </c>
      <c r="CL129" s="33"/>
      <c r="CM129" s="33">
        <v>0</v>
      </c>
      <c r="CN129" s="33">
        <v>0</v>
      </c>
      <c r="CO129" s="33"/>
      <c r="CP129" s="33">
        <v>0</v>
      </c>
      <c r="CQ129" s="33">
        <v>0</v>
      </c>
      <c r="CR129" s="33"/>
      <c r="CS129" s="33">
        <v>0</v>
      </c>
      <c r="CT129" s="33">
        <v>0</v>
      </c>
      <c r="CU129" s="33"/>
      <c r="CV129" s="33">
        <v>0</v>
      </c>
      <c r="CW129" s="33">
        <v>0</v>
      </c>
      <c r="CX129" s="33"/>
      <c r="CY129" s="33">
        <v>0</v>
      </c>
      <c r="CZ129" s="33">
        <v>0</v>
      </c>
      <c r="DA129" s="33"/>
      <c r="DB129" s="33">
        <v>0</v>
      </c>
      <c r="DC129" s="33">
        <v>0</v>
      </c>
      <c r="DD129" s="33">
        <v>0</v>
      </c>
      <c r="DE129" s="33">
        <v>0</v>
      </c>
      <c r="DF129" s="66">
        <v>0</v>
      </c>
    </row>
    <row r="130" spans="1:110" ht="24.95" customHeight="1">
      <c r="A130" s="89">
        <v>106</v>
      </c>
      <c r="B130" s="74" t="s">
        <v>261</v>
      </c>
      <c r="C130" s="60"/>
      <c r="D130" s="75"/>
      <c r="E130" s="70" t="s">
        <v>293</v>
      </c>
      <c r="F130" s="60" t="s">
        <v>253</v>
      </c>
      <c r="G130" s="64">
        <v>0</v>
      </c>
      <c r="H130" s="76">
        <v>0</v>
      </c>
      <c r="I130" s="76">
        <v>0</v>
      </c>
      <c r="J130" s="33"/>
      <c r="K130" s="33">
        <v>0</v>
      </c>
      <c r="L130" s="33">
        <f t="shared" si="239"/>
        <v>0</v>
      </c>
      <c r="M130" s="34"/>
      <c r="N130" s="33">
        <f t="shared" si="227"/>
        <v>0</v>
      </c>
      <c r="O130" s="33">
        <f t="shared" si="228"/>
        <v>0</v>
      </c>
      <c r="P130" s="137">
        <f t="shared" si="236"/>
        <v>0</v>
      </c>
      <c r="Q130" s="34">
        <f t="shared" ref="Q130:Q156" si="241">N130</f>
        <v>0</v>
      </c>
      <c r="R130" s="33">
        <f t="shared" si="240"/>
        <v>0</v>
      </c>
      <c r="S130" s="36">
        <v>46691</v>
      </c>
      <c r="T130" s="34">
        <v>76</v>
      </c>
      <c r="U130" s="34">
        <v>3087</v>
      </c>
      <c r="V130" s="34">
        <v>234612</v>
      </c>
      <c r="W130" s="34">
        <v>76</v>
      </c>
      <c r="X130" s="34">
        <v>3087</v>
      </c>
      <c r="Y130" s="34">
        <v>234612</v>
      </c>
      <c r="Z130" s="34"/>
      <c r="AA130" s="33">
        <v>0</v>
      </c>
      <c r="AB130" s="34">
        <f t="shared" si="229"/>
        <v>0</v>
      </c>
      <c r="AC130" s="33"/>
      <c r="AD130" s="33"/>
      <c r="AE130" s="33"/>
      <c r="AF130" s="65">
        <f t="shared" si="230"/>
        <v>76</v>
      </c>
      <c r="AG130" s="33">
        <f t="shared" si="231"/>
        <v>3087</v>
      </c>
      <c r="AH130" s="65">
        <f t="shared" si="232"/>
        <v>234612</v>
      </c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>
        <v>76</v>
      </c>
      <c r="AV130" s="33">
        <v>3087</v>
      </c>
      <c r="AW130" s="33">
        <v>234612</v>
      </c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>
        <v>0</v>
      </c>
      <c r="BJ130" s="33"/>
      <c r="BK130" s="33">
        <v>0</v>
      </c>
      <c r="BL130" s="33">
        <v>0</v>
      </c>
      <c r="BM130" s="33"/>
      <c r="BN130" s="33">
        <v>0</v>
      </c>
      <c r="BO130" s="33">
        <v>0</v>
      </c>
      <c r="BP130" s="33"/>
      <c r="BQ130" s="33"/>
      <c r="BR130" s="33"/>
      <c r="BT130" s="65">
        <f t="shared" si="233"/>
        <v>76</v>
      </c>
      <c r="BU130" s="33">
        <f t="shared" si="234"/>
        <v>3087</v>
      </c>
      <c r="BV130" s="65">
        <f t="shared" si="235"/>
        <v>234612</v>
      </c>
      <c r="BW130" s="33">
        <v>0</v>
      </c>
      <c r="BX130" s="33">
        <v>0</v>
      </c>
      <c r="BY130" s="33">
        <v>0</v>
      </c>
      <c r="BZ130" s="33">
        <v>0</v>
      </c>
      <c r="CA130" s="33">
        <v>0</v>
      </c>
      <c r="CB130" s="33">
        <v>0</v>
      </c>
      <c r="CC130" s="33">
        <v>0</v>
      </c>
      <c r="CD130" s="33">
        <v>0</v>
      </c>
      <c r="CE130" s="33">
        <v>0</v>
      </c>
      <c r="CF130" s="33">
        <v>0</v>
      </c>
      <c r="CG130" s="33">
        <v>0</v>
      </c>
      <c r="CH130" s="33">
        <v>0</v>
      </c>
      <c r="CI130" s="33">
        <v>76</v>
      </c>
      <c r="CJ130" s="33">
        <v>3087</v>
      </c>
      <c r="CK130" s="33">
        <v>234612</v>
      </c>
      <c r="CL130" s="33"/>
      <c r="CM130" s="33">
        <v>0</v>
      </c>
      <c r="CN130" s="33">
        <v>0</v>
      </c>
      <c r="CO130" s="33"/>
      <c r="CP130" s="33">
        <v>0</v>
      </c>
      <c r="CQ130" s="33">
        <v>0</v>
      </c>
      <c r="CR130" s="33"/>
      <c r="CS130" s="33">
        <v>0</v>
      </c>
      <c r="CT130" s="33">
        <v>0</v>
      </c>
      <c r="CU130" s="33"/>
      <c r="CV130" s="33">
        <v>0</v>
      </c>
      <c r="CW130" s="33">
        <v>0</v>
      </c>
      <c r="CX130" s="33"/>
      <c r="CY130" s="33">
        <v>0</v>
      </c>
      <c r="CZ130" s="33">
        <v>0</v>
      </c>
      <c r="DA130" s="33"/>
      <c r="DB130" s="33">
        <v>0</v>
      </c>
      <c r="DC130" s="33">
        <v>0</v>
      </c>
      <c r="DD130" s="33">
        <v>0</v>
      </c>
      <c r="DE130" s="33">
        <v>0</v>
      </c>
      <c r="DF130" s="66">
        <v>0</v>
      </c>
    </row>
    <row r="131" spans="1:110" ht="24.95" customHeight="1">
      <c r="A131" s="89">
        <v>107</v>
      </c>
      <c r="B131" s="74" t="s">
        <v>262</v>
      </c>
      <c r="C131" s="60"/>
      <c r="D131" s="75"/>
      <c r="E131" s="70" t="s">
        <v>294</v>
      </c>
      <c r="F131" s="60" t="s">
        <v>253</v>
      </c>
      <c r="G131" s="64">
        <v>0</v>
      </c>
      <c r="H131" s="76">
        <v>0</v>
      </c>
      <c r="I131" s="76">
        <v>0</v>
      </c>
      <c r="J131" s="33"/>
      <c r="K131" s="33">
        <v>0</v>
      </c>
      <c r="L131" s="33">
        <f t="shared" si="239"/>
        <v>0</v>
      </c>
      <c r="M131" s="34"/>
      <c r="N131" s="33">
        <f t="shared" si="227"/>
        <v>0</v>
      </c>
      <c r="O131" s="33">
        <f t="shared" si="228"/>
        <v>0</v>
      </c>
      <c r="P131" s="137">
        <f t="shared" si="236"/>
        <v>0</v>
      </c>
      <c r="Q131" s="34">
        <f t="shared" si="241"/>
        <v>0</v>
      </c>
      <c r="R131" s="33">
        <f t="shared" si="240"/>
        <v>0</v>
      </c>
      <c r="S131" s="36">
        <v>47149</v>
      </c>
      <c r="T131" s="34">
        <v>114</v>
      </c>
      <c r="U131" s="34">
        <v>18445.349999999999</v>
      </c>
      <c r="V131" s="34">
        <v>2102769.9</v>
      </c>
      <c r="W131" s="34">
        <v>114</v>
      </c>
      <c r="X131" s="34">
        <v>18445.349999999999</v>
      </c>
      <c r="Y131" s="34">
        <v>2102769.9</v>
      </c>
      <c r="Z131" s="34"/>
      <c r="AA131" s="33">
        <v>0</v>
      </c>
      <c r="AB131" s="34">
        <f t="shared" si="229"/>
        <v>0</v>
      </c>
      <c r="AC131" s="33"/>
      <c r="AD131" s="33"/>
      <c r="AE131" s="33"/>
      <c r="AF131" s="65">
        <f t="shared" si="230"/>
        <v>114</v>
      </c>
      <c r="AG131" s="33">
        <f t="shared" si="231"/>
        <v>18445.349999999999</v>
      </c>
      <c r="AH131" s="65">
        <f t="shared" si="232"/>
        <v>2102769.9</v>
      </c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>
        <v>114</v>
      </c>
      <c r="AV131" s="33">
        <v>18445.349999999999</v>
      </c>
      <c r="AW131" s="33">
        <v>2102769.9</v>
      </c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>
        <v>0</v>
      </c>
      <c r="BJ131" s="33"/>
      <c r="BK131" s="33">
        <v>0</v>
      </c>
      <c r="BL131" s="33">
        <v>0</v>
      </c>
      <c r="BM131" s="33"/>
      <c r="BN131" s="33">
        <v>0</v>
      </c>
      <c r="BO131" s="33">
        <v>0</v>
      </c>
      <c r="BP131" s="33"/>
      <c r="BQ131" s="33"/>
      <c r="BR131" s="33"/>
      <c r="BT131" s="65">
        <f t="shared" si="233"/>
        <v>114</v>
      </c>
      <c r="BU131" s="33">
        <f t="shared" si="234"/>
        <v>18445.349999999999</v>
      </c>
      <c r="BV131" s="65">
        <f t="shared" si="235"/>
        <v>2102769.9</v>
      </c>
      <c r="BW131" s="33">
        <v>0</v>
      </c>
      <c r="BX131" s="33">
        <v>0</v>
      </c>
      <c r="BY131" s="33">
        <v>0</v>
      </c>
      <c r="BZ131" s="33">
        <v>0</v>
      </c>
      <c r="CA131" s="33">
        <v>0</v>
      </c>
      <c r="CB131" s="33">
        <v>0</v>
      </c>
      <c r="CC131" s="33">
        <v>0</v>
      </c>
      <c r="CD131" s="33">
        <v>0</v>
      </c>
      <c r="CE131" s="33">
        <v>0</v>
      </c>
      <c r="CF131" s="33">
        <v>0</v>
      </c>
      <c r="CG131" s="33">
        <v>0</v>
      </c>
      <c r="CH131" s="33">
        <v>0</v>
      </c>
      <c r="CI131" s="33">
        <v>114</v>
      </c>
      <c r="CJ131" s="33">
        <v>18445.349999999999</v>
      </c>
      <c r="CK131" s="33">
        <v>2102769.9</v>
      </c>
      <c r="CL131" s="33"/>
      <c r="CM131" s="33">
        <v>0</v>
      </c>
      <c r="CN131" s="33">
        <v>0</v>
      </c>
      <c r="CO131" s="33"/>
      <c r="CP131" s="33">
        <v>0</v>
      </c>
      <c r="CQ131" s="33">
        <v>0</v>
      </c>
      <c r="CR131" s="33"/>
      <c r="CS131" s="33">
        <v>0</v>
      </c>
      <c r="CT131" s="33">
        <v>0</v>
      </c>
      <c r="CU131" s="33"/>
      <c r="CV131" s="33">
        <v>0</v>
      </c>
      <c r="CW131" s="33">
        <v>0</v>
      </c>
      <c r="CX131" s="33"/>
      <c r="CY131" s="33">
        <v>0</v>
      </c>
      <c r="CZ131" s="33">
        <v>0</v>
      </c>
      <c r="DA131" s="33"/>
      <c r="DB131" s="33">
        <v>0</v>
      </c>
      <c r="DC131" s="33">
        <v>0</v>
      </c>
      <c r="DD131" s="33">
        <v>0</v>
      </c>
      <c r="DE131" s="33">
        <v>0</v>
      </c>
      <c r="DF131" s="66">
        <v>0</v>
      </c>
    </row>
    <row r="132" spans="1:110" ht="24.95" customHeight="1">
      <c r="A132" s="89">
        <v>108</v>
      </c>
      <c r="B132" s="74" t="s">
        <v>224</v>
      </c>
      <c r="C132" s="60"/>
      <c r="D132" s="75"/>
      <c r="E132" s="70" t="s">
        <v>293</v>
      </c>
      <c r="F132" s="60" t="s">
        <v>151</v>
      </c>
      <c r="G132" s="64">
        <v>0</v>
      </c>
      <c r="H132" s="76">
        <v>0</v>
      </c>
      <c r="I132" s="76">
        <v>0</v>
      </c>
      <c r="J132" s="33"/>
      <c r="K132" s="33">
        <v>0</v>
      </c>
      <c r="L132" s="33">
        <f t="shared" si="239"/>
        <v>0</v>
      </c>
      <c r="M132" s="34"/>
      <c r="N132" s="33">
        <f t="shared" si="227"/>
        <v>0</v>
      </c>
      <c r="O132" s="33">
        <f t="shared" si="228"/>
        <v>0</v>
      </c>
      <c r="P132" s="137">
        <f t="shared" si="236"/>
        <v>0</v>
      </c>
      <c r="Q132" s="34">
        <f t="shared" si="241"/>
        <v>0</v>
      </c>
      <c r="R132" s="33">
        <f t="shared" si="240"/>
        <v>0</v>
      </c>
      <c r="S132" s="36">
        <v>46873</v>
      </c>
      <c r="T132" s="34">
        <v>114</v>
      </c>
      <c r="U132" s="34">
        <v>3150</v>
      </c>
      <c r="V132" s="34">
        <v>359100</v>
      </c>
      <c r="W132" s="34">
        <v>114</v>
      </c>
      <c r="X132" s="34">
        <v>3150</v>
      </c>
      <c r="Y132" s="34">
        <v>359100</v>
      </c>
      <c r="Z132" s="34"/>
      <c r="AA132" s="33">
        <v>0</v>
      </c>
      <c r="AB132" s="34">
        <f t="shared" si="229"/>
        <v>0</v>
      </c>
      <c r="AC132" s="33"/>
      <c r="AD132" s="33"/>
      <c r="AE132" s="33"/>
      <c r="AF132" s="65">
        <f t="shared" si="230"/>
        <v>114</v>
      </c>
      <c r="AG132" s="33">
        <f t="shared" si="231"/>
        <v>3150</v>
      </c>
      <c r="AH132" s="65">
        <f t="shared" si="232"/>
        <v>359100</v>
      </c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>
        <v>114</v>
      </c>
      <c r="AV132" s="33">
        <v>3150</v>
      </c>
      <c r="AW132" s="33">
        <v>359100</v>
      </c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>
        <v>0</v>
      </c>
      <c r="BJ132" s="33"/>
      <c r="BK132" s="33">
        <v>0</v>
      </c>
      <c r="BL132" s="33">
        <v>0</v>
      </c>
      <c r="BM132" s="33"/>
      <c r="BN132" s="33">
        <v>0</v>
      </c>
      <c r="BO132" s="33">
        <v>0</v>
      </c>
      <c r="BP132" s="33"/>
      <c r="BQ132" s="33"/>
      <c r="BR132" s="33"/>
      <c r="BT132" s="65">
        <f t="shared" si="233"/>
        <v>114</v>
      </c>
      <c r="BU132" s="33">
        <f t="shared" si="234"/>
        <v>3150</v>
      </c>
      <c r="BV132" s="65">
        <f t="shared" si="235"/>
        <v>359100</v>
      </c>
      <c r="BW132" s="33">
        <v>0</v>
      </c>
      <c r="BX132" s="33">
        <v>0</v>
      </c>
      <c r="BY132" s="33">
        <v>0</v>
      </c>
      <c r="BZ132" s="33">
        <v>0</v>
      </c>
      <c r="CA132" s="33">
        <v>0</v>
      </c>
      <c r="CB132" s="33">
        <v>0</v>
      </c>
      <c r="CC132" s="33">
        <v>0</v>
      </c>
      <c r="CD132" s="33">
        <v>0</v>
      </c>
      <c r="CE132" s="33">
        <v>0</v>
      </c>
      <c r="CF132" s="33">
        <v>0</v>
      </c>
      <c r="CG132" s="33">
        <v>0</v>
      </c>
      <c r="CH132" s="33">
        <v>0</v>
      </c>
      <c r="CI132" s="33">
        <v>114</v>
      </c>
      <c r="CJ132" s="33">
        <v>3150</v>
      </c>
      <c r="CK132" s="33">
        <v>359100</v>
      </c>
      <c r="CL132" s="33"/>
      <c r="CM132" s="33">
        <v>0</v>
      </c>
      <c r="CN132" s="33">
        <v>0</v>
      </c>
      <c r="CO132" s="33"/>
      <c r="CP132" s="33">
        <v>0</v>
      </c>
      <c r="CQ132" s="33">
        <v>0</v>
      </c>
      <c r="CR132" s="33"/>
      <c r="CS132" s="33">
        <v>0</v>
      </c>
      <c r="CT132" s="33">
        <v>0</v>
      </c>
      <c r="CU132" s="33"/>
      <c r="CV132" s="33">
        <v>0</v>
      </c>
      <c r="CW132" s="33">
        <v>0</v>
      </c>
      <c r="CX132" s="33"/>
      <c r="CY132" s="33">
        <v>0</v>
      </c>
      <c r="CZ132" s="33">
        <v>0</v>
      </c>
      <c r="DA132" s="33"/>
      <c r="DB132" s="33">
        <v>0</v>
      </c>
      <c r="DC132" s="33">
        <v>0</v>
      </c>
      <c r="DD132" s="33">
        <v>0</v>
      </c>
      <c r="DE132" s="33">
        <v>0</v>
      </c>
      <c r="DF132" s="66">
        <v>0</v>
      </c>
    </row>
    <row r="133" spans="1:110" ht="24.95" customHeight="1">
      <c r="A133" s="89">
        <v>109</v>
      </c>
      <c r="B133" s="74" t="s">
        <v>263</v>
      </c>
      <c r="C133" s="60"/>
      <c r="D133" s="75"/>
      <c r="E133" s="70" t="s">
        <v>293</v>
      </c>
      <c r="F133" s="60" t="s">
        <v>151</v>
      </c>
      <c r="G133" s="64">
        <v>0</v>
      </c>
      <c r="H133" s="76">
        <v>0</v>
      </c>
      <c r="I133" s="76">
        <v>0</v>
      </c>
      <c r="J133" s="33"/>
      <c r="K133" s="33">
        <v>0</v>
      </c>
      <c r="L133" s="33">
        <f t="shared" si="239"/>
        <v>0</v>
      </c>
      <c r="M133" s="34"/>
      <c r="N133" s="33">
        <f t="shared" si="227"/>
        <v>0</v>
      </c>
      <c r="O133" s="33">
        <f t="shared" si="228"/>
        <v>0</v>
      </c>
      <c r="P133" s="137">
        <f t="shared" si="236"/>
        <v>0</v>
      </c>
      <c r="Q133" s="34">
        <f t="shared" si="241"/>
        <v>0</v>
      </c>
      <c r="R133" s="33">
        <f t="shared" si="240"/>
        <v>0</v>
      </c>
      <c r="S133" s="36">
        <v>46843</v>
      </c>
      <c r="T133" s="34">
        <v>190</v>
      </c>
      <c r="U133" s="34">
        <v>5733</v>
      </c>
      <c r="V133" s="34">
        <v>1089270</v>
      </c>
      <c r="W133" s="34">
        <v>190</v>
      </c>
      <c r="X133" s="34">
        <v>5733</v>
      </c>
      <c r="Y133" s="34">
        <v>1089270</v>
      </c>
      <c r="Z133" s="34"/>
      <c r="AA133" s="33">
        <v>0</v>
      </c>
      <c r="AB133" s="34">
        <f t="shared" si="229"/>
        <v>0</v>
      </c>
      <c r="AC133" s="33"/>
      <c r="AD133" s="33"/>
      <c r="AE133" s="33"/>
      <c r="AF133" s="65">
        <f t="shared" si="230"/>
        <v>190</v>
      </c>
      <c r="AG133" s="33">
        <f t="shared" si="231"/>
        <v>5733</v>
      </c>
      <c r="AH133" s="65">
        <f t="shared" si="232"/>
        <v>1089270</v>
      </c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>
        <v>190</v>
      </c>
      <c r="AV133" s="33">
        <v>5733</v>
      </c>
      <c r="AW133" s="33">
        <v>1089270</v>
      </c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>
        <v>0</v>
      </c>
      <c r="BJ133" s="33"/>
      <c r="BK133" s="33">
        <v>0</v>
      </c>
      <c r="BL133" s="33">
        <v>0</v>
      </c>
      <c r="BM133" s="33"/>
      <c r="BN133" s="33">
        <v>0</v>
      </c>
      <c r="BO133" s="33">
        <v>0</v>
      </c>
      <c r="BP133" s="33"/>
      <c r="BQ133" s="33"/>
      <c r="BR133" s="33"/>
      <c r="BT133" s="65">
        <f t="shared" si="233"/>
        <v>190</v>
      </c>
      <c r="BU133" s="33">
        <f t="shared" si="234"/>
        <v>5733</v>
      </c>
      <c r="BV133" s="65">
        <f t="shared" si="235"/>
        <v>1089270</v>
      </c>
      <c r="BW133" s="33">
        <v>0</v>
      </c>
      <c r="BX133" s="33">
        <v>0</v>
      </c>
      <c r="BY133" s="33">
        <v>0</v>
      </c>
      <c r="BZ133" s="33">
        <v>0</v>
      </c>
      <c r="CA133" s="33">
        <v>0</v>
      </c>
      <c r="CB133" s="33">
        <v>0</v>
      </c>
      <c r="CC133" s="33">
        <v>0</v>
      </c>
      <c r="CD133" s="33">
        <v>0</v>
      </c>
      <c r="CE133" s="33">
        <v>0</v>
      </c>
      <c r="CF133" s="33">
        <v>0</v>
      </c>
      <c r="CG133" s="33">
        <v>0</v>
      </c>
      <c r="CH133" s="33">
        <v>0</v>
      </c>
      <c r="CI133" s="33">
        <v>190</v>
      </c>
      <c r="CJ133" s="33">
        <v>5733</v>
      </c>
      <c r="CK133" s="33">
        <v>1089270</v>
      </c>
      <c r="CL133" s="33"/>
      <c r="CM133" s="33">
        <v>0</v>
      </c>
      <c r="CN133" s="33">
        <v>0</v>
      </c>
      <c r="CO133" s="33"/>
      <c r="CP133" s="33">
        <v>0</v>
      </c>
      <c r="CQ133" s="33">
        <v>0</v>
      </c>
      <c r="CR133" s="33"/>
      <c r="CS133" s="33">
        <v>0</v>
      </c>
      <c r="CT133" s="33">
        <v>0</v>
      </c>
      <c r="CU133" s="33"/>
      <c r="CV133" s="33">
        <v>0</v>
      </c>
      <c r="CW133" s="33">
        <v>0</v>
      </c>
      <c r="CX133" s="33"/>
      <c r="CY133" s="33">
        <v>0</v>
      </c>
      <c r="CZ133" s="33">
        <v>0</v>
      </c>
      <c r="DA133" s="33"/>
      <c r="DB133" s="33">
        <v>0</v>
      </c>
      <c r="DC133" s="33">
        <v>0</v>
      </c>
      <c r="DD133" s="33">
        <v>0</v>
      </c>
      <c r="DE133" s="33">
        <v>0</v>
      </c>
      <c r="DF133" s="66">
        <v>0</v>
      </c>
    </row>
    <row r="134" spans="1:110" ht="24.95" customHeight="1">
      <c r="A134" s="89">
        <v>110</v>
      </c>
      <c r="B134" s="74" t="s">
        <v>264</v>
      </c>
      <c r="C134" s="60"/>
      <c r="D134" s="75"/>
      <c r="E134" s="70" t="s">
        <v>295</v>
      </c>
      <c r="F134" s="60" t="s">
        <v>256</v>
      </c>
      <c r="G134" s="64">
        <v>0</v>
      </c>
      <c r="H134" s="76">
        <v>0</v>
      </c>
      <c r="I134" s="76">
        <v>0</v>
      </c>
      <c r="J134" s="33"/>
      <c r="K134" s="33">
        <v>0</v>
      </c>
      <c r="L134" s="33">
        <f t="shared" si="239"/>
        <v>0</v>
      </c>
      <c r="M134" s="34"/>
      <c r="N134" s="33">
        <f t="shared" ref="N134:N159" si="242">IFERROR((G134*H134+J134*K134)/(G134+J134),0)</f>
        <v>0</v>
      </c>
      <c r="O134" s="33">
        <f t="shared" si="228"/>
        <v>0</v>
      </c>
      <c r="P134" s="137">
        <f t="shared" si="236"/>
        <v>0</v>
      </c>
      <c r="Q134" s="34">
        <f t="shared" si="241"/>
        <v>0</v>
      </c>
      <c r="R134" s="33">
        <f t="shared" si="240"/>
        <v>0</v>
      </c>
      <c r="S134" s="36">
        <v>46853</v>
      </c>
      <c r="T134" s="34">
        <v>76</v>
      </c>
      <c r="U134" s="34">
        <v>15225</v>
      </c>
      <c r="V134" s="34">
        <v>1157100</v>
      </c>
      <c r="W134" s="34">
        <v>76</v>
      </c>
      <c r="X134" s="34">
        <v>15225</v>
      </c>
      <c r="Y134" s="34">
        <v>1157100</v>
      </c>
      <c r="Z134" s="34"/>
      <c r="AA134" s="33">
        <v>0</v>
      </c>
      <c r="AB134" s="34">
        <f t="shared" si="229"/>
        <v>0</v>
      </c>
      <c r="AC134" s="33"/>
      <c r="AD134" s="33"/>
      <c r="AE134" s="33"/>
      <c r="AF134" s="65">
        <f t="shared" si="230"/>
        <v>76</v>
      </c>
      <c r="AG134" s="33">
        <f t="shared" si="231"/>
        <v>15225</v>
      </c>
      <c r="AH134" s="65">
        <f t="shared" si="232"/>
        <v>1157100</v>
      </c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>
        <v>76</v>
      </c>
      <c r="AV134" s="33">
        <v>15225</v>
      </c>
      <c r="AW134" s="33">
        <v>1157100</v>
      </c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>
        <v>0</v>
      </c>
      <c r="BJ134" s="33"/>
      <c r="BK134" s="33">
        <v>0</v>
      </c>
      <c r="BL134" s="33">
        <v>0</v>
      </c>
      <c r="BM134" s="33"/>
      <c r="BN134" s="33">
        <v>0</v>
      </c>
      <c r="BO134" s="33">
        <v>0</v>
      </c>
      <c r="BP134" s="33"/>
      <c r="BQ134" s="33"/>
      <c r="BR134" s="33"/>
      <c r="BT134" s="65">
        <f t="shared" si="233"/>
        <v>76</v>
      </c>
      <c r="BU134" s="33">
        <f t="shared" si="234"/>
        <v>15225</v>
      </c>
      <c r="BV134" s="65">
        <f t="shared" si="235"/>
        <v>1157100</v>
      </c>
      <c r="BW134" s="33">
        <v>0</v>
      </c>
      <c r="BX134" s="33">
        <v>0</v>
      </c>
      <c r="BY134" s="33">
        <v>0</v>
      </c>
      <c r="BZ134" s="33">
        <v>0</v>
      </c>
      <c r="CA134" s="33">
        <v>0</v>
      </c>
      <c r="CB134" s="33">
        <v>0</v>
      </c>
      <c r="CC134" s="33">
        <v>0</v>
      </c>
      <c r="CD134" s="33">
        <v>0</v>
      </c>
      <c r="CE134" s="33">
        <v>0</v>
      </c>
      <c r="CF134" s="33">
        <v>0</v>
      </c>
      <c r="CG134" s="33">
        <v>0</v>
      </c>
      <c r="CH134" s="33">
        <v>0</v>
      </c>
      <c r="CI134" s="33">
        <v>76</v>
      </c>
      <c r="CJ134" s="33">
        <v>15225</v>
      </c>
      <c r="CK134" s="33">
        <v>1157100</v>
      </c>
      <c r="CL134" s="33"/>
      <c r="CM134" s="33">
        <v>0</v>
      </c>
      <c r="CN134" s="33">
        <v>0</v>
      </c>
      <c r="CO134" s="33"/>
      <c r="CP134" s="33">
        <v>0</v>
      </c>
      <c r="CQ134" s="33">
        <v>0</v>
      </c>
      <c r="CR134" s="33"/>
      <c r="CS134" s="33">
        <v>0</v>
      </c>
      <c r="CT134" s="33">
        <v>0</v>
      </c>
      <c r="CU134" s="33"/>
      <c r="CV134" s="33">
        <v>0</v>
      </c>
      <c r="CW134" s="33">
        <v>0</v>
      </c>
      <c r="CX134" s="33"/>
      <c r="CY134" s="33">
        <v>0</v>
      </c>
      <c r="CZ134" s="33">
        <v>0</v>
      </c>
      <c r="DA134" s="33"/>
      <c r="DB134" s="33">
        <v>0</v>
      </c>
      <c r="DC134" s="33">
        <v>0</v>
      </c>
      <c r="DD134" s="33">
        <v>0</v>
      </c>
      <c r="DE134" s="33">
        <v>0</v>
      </c>
      <c r="DF134" s="66">
        <v>0</v>
      </c>
    </row>
    <row r="135" spans="1:110" ht="24.95" customHeight="1">
      <c r="A135" s="89">
        <v>111</v>
      </c>
      <c r="B135" s="74" t="s">
        <v>265</v>
      </c>
      <c r="C135" s="60"/>
      <c r="D135" s="75"/>
      <c r="E135" s="70" t="s">
        <v>295</v>
      </c>
      <c r="F135" s="60" t="s">
        <v>256</v>
      </c>
      <c r="G135" s="64">
        <v>0</v>
      </c>
      <c r="H135" s="76">
        <v>0</v>
      </c>
      <c r="I135" s="76">
        <v>0</v>
      </c>
      <c r="J135" s="33"/>
      <c r="K135" s="33">
        <v>0</v>
      </c>
      <c r="L135" s="33">
        <f t="shared" si="239"/>
        <v>0</v>
      </c>
      <c r="M135" s="34"/>
      <c r="N135" s="33">
        <f t="shared" si="242"/>
        <v>0</v>
      </c>
      <c r="O135" s="33">
        <f t="shared" si="228"/>
        <v>0</v>
      </c>
      <c r="P135" s="137">
        <f t="shared" si="236"/>
        <v>0</v>
      </c>
      <c r="Q135" s="34">
        <f t="shared" si="241"/>
        <v>0</v>
      </c>
      <c r="R135" s="33">
        <f t="shared" si="240"/>
        <v>0</v>
      </c>
      <c r="S135" s="36">
        <v>46853</v>
      </c>
      <c r="T135" s="34">
        <v>76</v>
      </c>
      <c r="U135" s="34">
        <v>17325</v>
      </c>
      <c r="V135" s="34">
        <v>1316700</v>
      </c>
      <c r="W135" s="34">
        <v>76</v>
      </c>
      <c r="X135" s="34">
        <v>17325</v>
      </c>
      <c r="Y135" s="34">
        <v>1316700</v>
      </c>
      <c r="Z135" s="34"/>
      <c r="AA135" s="33">
        <v>0</v>
      </c>
      <c r="AB135" s="34">
        <f t="shared" si="229"/>
        <v>0</v>
      </c>
      <c r="AC135" s="33"/>
      <c r="AD135" s="33"/>
      <c r="AE135" s="33"/>
      <c r="AF135" s="65">
        <f t="shared" si="230"/>
        <v>76</v>
      </c>
      <c r="AG135" s="33">
        <f t="shared" si="231"/>
        <v>17325</v>
      </c>
      <c r="AH135" s="65">
        <f t="shared" si="232"/>
        <v>1316700</v>
      </c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>
        <v>76</v>
      </c>
      <c r="AV135" s="33">
        <v>17325</v>
      </c>
      <c r="AW135" s="33">
        <v>1316700</v>
      </c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>
        <v>0</v>
      </c>
      <c r="BJ135" s="33"/>
      <c r="BK135" s="33">
        <v>0</v>
      </c>
      <c r="BL135" s="33">
        <v>0</v>
      </c>
      <c r="BM135" s="33"/>
      <c r="BN135" s="33">
        <v>0</v>
      </c>
      <c r="BO135" s="33">
        <v>0</v>
      </c>
      <c r="BP135" s="33"/>
      <c r="BQ135" s="33"/>
      <c r="BR135" s="33"/>
      <c r="BT135" s="65">
        <f t="shared" si="233"/>
        <v>76</v>
      </c>
      <c r="BU135" s="33">
        <f t="shared" si="234"/>
        <v>17325</v>
      </c>
      <c r="BV135" s="65">
        <f t="shared" si="235"/>
        <v>1316700</v>
      </c>
      <c r="BW135" s="33">
        <v>0</v>
      </c>
      <c r="BX135" s="33">
        <v>0</v>
      </c>
      <c r="BY135" s="33">
        <v>0</v>
      </c>
      <c r="BZ135" s="33">
        <v>0</v>
      </c>
      <c r="CA135" s="33">
        <v>0</v>
      </c>
      <c r="CB135" s="33">
        <v>0</v>
      </c>
      <c r="CC135" s="33">
        <v>0</v>
      </c>
      <c r="CD135" s="33">
        <v>0</v>
      </c>
      <c r="CE135" s="33">
        <v>0</v>
      </c>
      <c r="CF135" s="33">
        <v>0</v>
      </c>
      <c r="CG135" s="33">
        <v>0</v>
      </c>
      <c r="CH135" s="33">
        <v>0</v>
      </c>
      <c r="CI135" s="33">
        <v>76</v>
      </c>
      <c r="CJ135" s="33">
        <v>17325</v>
      </c>
      <c r="CK135" s="33">
        <v>1316700</v>
      </c>
      <c r="CL135" s="33"/>
      <c r="CM135" s="33">
        <v>0</v>
      </c>
      <c r="CN135" s="33">
        <v>0</v>
      </c>
      <c r="CO135" s="33"/>
      <c r="CP135" s="33">
        <v>0</v>
      </c>
      <c r="CQ135" s="33">
        <v>0</v>
      </c>
      <c r="CR135" s="33"/>
      <c r="CS135" s="33">
        <v>0</v>
      </c>
      <c r="CT135" s="33">
        <v>0</v>
      </c>
      <c r="CU135" s="33"/>
      <c r="CV135" s="33">
        <v>0</v>
      </c>
      <c r="CW135" s="33">
        <v>0</v>
      </c>
      <c r="CX135" s="33"/>
      <c r="CY135" s="33">
        <v>0</v>
      </c>
      <c r="CZ135" s="33">
        <v>0</v>
      </c>
      <c r="DA135" s="33"/>
      <c r="DB135" s="33">
        <v>0</v>
      </c>
      <c r="DC135" s="33">
        <v>0</v>
      </c>
      <c r="DD135" s="33">
        <v>0</v>
      </c>
      <c r="DE135" s="33">
        <v>0</v>
      </c>
      <c r="DF135" s="66">
        <v>0</v>
      </c>
    </row>
    <row r="136" spans="1:110" ht="24.95" customHeight="1">
      <c r="A136" s="89">
        <v>112</v>
      </c>
      <c r="B136" s="74" t="s">
        <v>266</v>
      </c>
      <c r="C136" s="60"/>
      <c r="D136" s="75"/>
      <c r="E136" s="70" t="s">
        <v>296</v>
      </c>
      <c r="F136" s="60" t="s">
        <v>288</v>
      </c>
      <c r="G136" s="64">
        <v>0</v>
      </c>
      <c r="H136" s="76">
        <v>0</v>
      </c>
      <c r="I136" s="76">
        <v>0</v>
      </c>
      <c r="J136" s="33"/>
      <c r="K136" s="33">
        <v>0</v>
      </c>
      <c r="L136" s="33">
        <f t="shared" si="239"/>
        <v>0</v>
      </c>
      <c r="M136" s="34"/>
      <c r="N136" s="33">
        <f t="shared" si="242"/>
        <v>0</v>
      </c>
      <c r="O136" s="33">
        <f t="shared" si="228"/>
        <v>0</v>
      </c>
      <c r="P136" s="137">
        <f t="shared" si="236"/>
        <v>0</v>
      </c>
      <c r="Q136" s="34">
        <f t="shared" si="241"/>
        <v>0</v>
      </c>
      <c r="R136" s="33">
        <f t="shared" si="240"/>
        <v>0</v>
      </c>
      <c r="S136" s="36"/>
      <c r="T136" s="34">
        <v>19</v>
      </c>
      <c r="U136" s="34">
        <v>32550</v>
      </c>
      <c r="V136" s="34">
        <v>618450</v>
      </c>
      <c r="W136" s="34">
        <v>19</v>
      </c>
      <c r="X136" s="34">
        <v>32550</v>
      </c>
      <c r="Y136" s="34">
        <v>618450</v>
      </c>
      <c r="Z136" s="34"/>
      <c r="AA136" s="33">
        <v>0</v>
      </c>
      <c r="AB136" s="34">
        <f t="shared" si="229"/>
        <v>0</v>
      </c>
      <c r="AC136" s="33"/>
      <c r="AD136" s="33"/>
      <c r="AE136" s="33"/>
      <c r="AF136" s="65">
        <f t="shared" si="230"/>
        <v>19</v>
      </c>
      <c r="AG136" s="33">
        <f t="shared" si="231"/>
        <v>32550</v>
      </c>
      <c r="AH136" s="65">
        <f t="shared" si="232"/>
        <v>618450</v>
      </c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>
        <v>19</v>
      </c>
      <c r="AV136" s="33">
        <v>32550</v>
      </c>
      <c r="AW136" s="33">
        <v>618450</v>
      </c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>
        <v>0</v>
      </c>
      <c r="BJ136" s="33"/>
      <c r="BK136" s="33">
        <v>0</v>
      </c>
      <c r="BL136" s="33">
        <v>0</v>
      </c>
      <c r="BM136" s="33"/>
      <c r="BN136" s="33">
        <v>0</v>
      </c>
      <c r="BO136" s="33">
        <v>0</v>
      </c>
      <c r="BP136" s="33"/>
      <c r="BQ136" s="33"/>
      <c r="BR136" s="33"/>
      <c r="BT136" s="65">
        <f t="shared" si="233"/>
        <v>19</v>
      </c>
      <c r="BU136" s="33">
        <f t="shared" si="234"/>
        <v>32550</v>
      </c>
      <c r="BV136" s="65">
        <f t="shared" si="235"/>
        <v>618450</v>
      </c>
      <c r="BW136" s="33">
        <v>0</v>
      </c>
      <c r="BX136" s="33">
        <v>0</v>
      </c>
      <c r="BY136" s="33">
        <v>0</v>
      </c>
      <c r="BZ136" s="33">
        <v>0</v>
      </c>
      <c r="CA136" s="33">
        <v>0</v>
      </c>
      <c r="CB136" s="33">
        <v>0</v>
      </c>
      <c r="CC136" s="33">
        <v>0</v>
      </c>
      <c r="CD136" s="33">
        <v>0</v>
      </c>
      <c r="CE136" s="33">
        <v>0</v>
      </c>
      <c r="CF136" s="33">
        <v>0</v>
      </c>
      <c r="CG136" s="33">
        <v>0</v>
      </c>
      <c r="CH136" s="33">
        <v>0</v>
      </c>
      <c r="CI136" s="33">
        <v>19</v>
      </c>
      <c r="CJ136" s="33">
        <v>32550</v>
      </c>
      <c r="CK136" s="33">
        <v>618450</v>
      </c>
      <c r="CL136" s="33"/>
      <c r="CM136" s="33">
        <v>0</v>
      </c>
      <c r="CN136" s="33">
        <v>0</v>
      </c>
      <c r="CO136" s="33"/>
      <c r="CP136" s="33">
        <v>0</v>
      </c>
      <c r="CQ136" s="33">
        <v>0</v>
      </c>
      <c r="CR136" s="33"/>
      <c r="CS136" s="33">
        <v>0</v>
      </c>
      <c r="CT136" s="33">
        <v>0</v>
      </c>
      <c r="CU136" s="33"/>
      <c r="CV136" s="33">
        <v>0</v>
      </c>
      <c r="CW136" s="33">
        <v>0</v>
      </c>
      <c r="CX136" s="33"/>
      <c r="CY136" s="33">
        <v>0</v>
      </c>
      <c r="CZ136" s="33">
        <v>0</v>
      </c>
      <c r="DA136" s="33"/>
      <c r="DB136" s="33">
        <v>0</v>
      </c>
      <c r="DC136" s="33">
        <v>0</v>
      </c>
      <c r="DD136" s="33">
        <v>0</v>
      </c>
      <c r="DE136" s="33">
        <v>0</v>
      </c>
      <c r="DF136" s="66">
        <v>0</v>
      </c>
    </row>
    <row r="137" spans="1:110" ht="24.95" customHeight="1">
      <c r="A137" s="89">
        <v>113</v>
      </c>
      <c r="B137" s="74" t="s">
        <v>267</v>
      </c>
      <c r="C137" s="60"/>
      <c r="D137" s="75"/>
      <c r="E137" s="70" t="s">
        <v>296</v>
      </c>
      <c r="F137" s="60" t="s">
        <v>288</v>
      </c>
      <c r="G137" s="64">
        <v>0</v>
      </c>
      <c r="H137" s="76">
        <v>0</v>
      </c>
      <c r="I137" s="76">
        <v>0</v>
      </c>
      <c r="J137" s="33"/>
      <c r="K137" s="33">
        <v>0</v>
      </c>
      <c r="L137" s="33">
        <f t="shared" si="239"/>
        <v>0</v>
      </c>
      <c r="M137" s="34"/>
      <c r="N137" s="33">
        <f t="shared" si="242"/>
        <v>0</v>
      </c>
      <c r="O137" s="33">
        <f t="shared" si="228"/>
        <v>0</v>
      </c>
      <c r="P137" s="137">
        <f t="shared" si="236"/>
        <v>0</v>
      </c>
      <c r="Q137" s="34">
        <f t="shared" si="241"/>
        <v>0</v>
      </c>
      <c r="R137" s="33">
        <f t="shared" si="240"/>
        <v>0</v>
      </c>
      <c r="S137" s="36"/>
      <c r="T137" s="34">
        <v>38</v>
      </c>
      <c r="U137" s="34">
        <v>25725</v>
      </c>
      <c r="V137" s="34">
        <v>977550</v>
      </c>
      <c r="W137" s="34">
        <v>38</v>
      </c>
      <c r="X137" s="34">
        <v>25725</v>
      </c>
      <c r="Y137" s="34">
        <v>977550</v>
      </c>
      <c r="Z137" s="34"/>
      <c r="AA137" s="33">
        <v>0</v>
      </c>
      <c r="AB137" s="34">
        <f t="shared" si="229"/>
        <v>0</v>
      </c>
      <c r="AC137" s="33"/>
      <c r="AD137" s="33"/>
      <c r="AE137" s="33"/>
      <c r="AF137" s="65">
        <f t="shared" si="230"/>
        <v>38</v>
      </c>
      <c r="AG137" s="33">
        <f t="shared" si="231"/>
        <v>25725</v>
      </c>
      <c r="AH137" s="65">
        <f t="shared" si="232"/>
        <v>977550</v>
      </c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>
        <v>38</v>
      </c>
      <c r="AV137" s="33">
        <v>25725</v>
      </c>
      <c r="AW137" s="33">
        <v>977550</v>
      </c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>
        <v>0</v>
      </c>
      <c r="BJ137" s="33"/>
      <c r="BK137" s="33">
        <v>0</v>
      </c>
      <c r="BL137" s="33">
        <v>0</v>
      </c>
      <c r="BM137" s="33"/>
      <c r="BN137" s="33">
        <v>0</v>
      </c>
      <c r="BO137" s="33">
        <v>0</v>
      </c>
      <c r="BP137" s="33"/>
      <c r="BQ137" s="33"/>
      <c r="BR137" s="33"/>
      <c r="BT137" s="65">
        <f t="shared" si="233"/>
        <v>38</v>
      </c>
      <c r="BU137" s="33">
        <f t="shared" si="234"/>
        <v>25725</v>
      </c>
      <c r="BV137" s="65">
        <f t="shared" si="235"/>
        <v>977550</v>
      </c>
      <c r="BW137" s="33">
        <v>0</v>
      </c>
      <c r="BX137" s="33">
        <v>0</v>
      </c>
      <c r="BY137" s="33">
        <v>0</v>
      </c>
      <c r="BZ137" s="33">
        <v>0</v>
      </c>
      <c r="CA137" s="33">
        <v>0</v>
      </c>
      <c r="CB137" s="33">
        <v>0</v>
      </c>
      <c r="CC137" s="33">
        <v>0</v>
      </c>
      <c r="CD137" s="33">
        <v>0</v>
      </c>
      <c r="CE137" s="33">
        <v>0</v>
      </c>
      <c r="CF137" s="33">
        <v>0</v>
      </c>
      <c r="CG137" s="33">
        <v>0</v>
      </c>
      <c r="CH137" s="33">
        <v>0</v>
      </c>
      <c r="CI137" s="33">
        <v>38</v>
      </c>
      <c r="CJ137" s="33">
        <v>25725</v>
      </c>
      <c r="CK137" s="33">
        <v>977550</v>
      </c>
      <c r="CL137" s="33"/>
      <c r="CM137" s="33">
        <v>0</v>
      </c>
      <c r="CN137" s="33">
        <v>0</v>
      </c>
      <c r="CO137" s="33"/>
      <c r="CP137" s="33">
        <v>0</v>
      </c>
      <c r="CQ137" s="33">
        <v>0</v>
      </c>
      <c r="CR137" s="33"/>
      <c r="CS137" s="33">
        <v>0</v>
      </c>
      <c r="CT137" s="33">
        <v>0</v>
      </c>
      <c r="CU137" s="33"/>
      <c r="CV137" s="33">
        <v>0</v>
      </c>
      <c r="CW137" s="33">
        <v>0</v>
      </c>
      <c r="CX137" s="33"/>
      <c r="CY137" s="33">
        <v>0</v>
      </c>
      <c r="CZ137" s="33">
        <v>0</v>
      </c>
      <c r="DA137" s="33"/>
      <c r="DB137" s="33">
        <v>0</v>
      </c>
      <c r="DC137" s="33">
        <v>0</v>
      </c>
      <c r="DD137" s="33">
        <v>0</v>
      </c>
      <c r="DE137" s="33">
        <v>0</v>
      </c>
      <c r="DF137" s="66">
        <v>0</v>
      </c>
    </row>
    <row r="138" spans="1:110" ht="24.95" customHeight="1">
      <c r="A138" s="89">
        <v>114</v>
      </c>
      <c r="B138" s="74" t="s">
        <v>268</v>
      </c>
      <c r="C138" s="60"/>
      <c r="D138" s="75"/>
      <c r="E138" s="70" t="s">
        <v>296</v>
      </c>
      <c r="F138" s="60" t="s">
        <v>288</v>
      </c>
      <c r="G138" s="64">
        <v>0</v>
      </c>
      <c r="H138" s="76">
        <v>0</v>
      </c>
      <c r="I138" s="76">
        <v>0</v>
      </c>
      <c r="J138" s="33"/>
      <c r="K138" s="33">
        <v>0</v>
      </c>
      <c r="L138" s="33">
        <f t="shared" si="239"/>
        <v>0</v>
      </c>
      <c r="M138" s="34"/>
      <c r="N138" s="33">
        <f t="shared" si="242"/>
        <v>0</v>
      </c>
      <c r="O138" s="33">
        <f t="shared" si="228"/>
        <v>0</v>
      </c>
      <c r="P138" s="137">
        <f t="shared" si="236"/>
        <v>0</v>
      </c>
      <c r="Q138" s="34">
        <f t="shared" si="241"/>
        <v>0</v>
      </c>
      <c r="R138" s="33">
        <f t="shared" si="240"/>
        <v>0</v>
      </c>
      <c r="S138" s="36"/>
      <c r="T138" s="34">
        <v>38</v>
      </c>
      <c r="U138" s="34">
        <v>25725</v>
      </c>
      <c r="V138" s="34">
        <v>977550</v>
      </c>
      <c r="W138" s="34">
        <v>38</v>
      </c>
      <c r="X138" s="34">
        <v>25725</v>
      </c>
      <c r="Y138" s="34">
        <v>977550</v>
      </c>
      <c r="Z138" s="34"/>
      <c r="AA138" s="33">
        <v>0</v>
      </c>
      <c r="AB138" s="34">
        <f t="shared" si="229"/>
        <v>0</v>
      </c>
      <c r="AC138" s="33"/>
      <c r="AD138" s="33"/>
      <c r="AE138" s="33"/>
      <c r="AF138" s="65">
        <f t="shared" si="230"/>
        <v>38</v>
      </c>
      <c r="AG138" s="33">
        <f t="shared" si="231"/>
        <v>25725</v>
      </c>
      <c r="AH138" s="65">
        <f t="shared" si="232"/>
        <v>977550</v>
      </c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>
        <v>38</v>
      </c>
      <c r="AV138" s="33">
        <v>25725</v>
      </c>
      <c r="AW138" s="33">
        <v>977550</v>
      </c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>
        <v>0</v>
      </c>
      <c r="BJ138" s="33"/>
      <c r="BK138" s="33">
        <v>0</v>
      </c>
      <c r="BL138" s="33">
        <v>0</v>
      </c>
      <c r="BM138" s="33"/>
      <c r="BN138" s="33">
        <v>0</v>
      </c>
      <c r="BO138" s="33">
        <v>0</v>
      </c>
      <c r="BP138" s="33"/>
      <c r="BQ138" s="33"/>
      <c r="BR138" s="33"/>
      <c r="BT138" s="65">
        <f t="shared" si="233"/>
        <v>38</v>
      </c>
      <c r="BU138" s="33">
        <f t="shared" si="234"/>
        <v>25725</v>
      </c>
      <c r="BV138" s="65">
        <f t="shared" si="235"/>
        <v>977550</v>
      </c>
      <c r="BW138" s="33">
        <v>0</v>
      </c>
      <c r="BX138" s="33">
        <v>0</v>
      </c>
      <c r="BY138" s="33">
        <v>0</v>
      </c>
      <c r="BZ138" s="33">
        <v>0</v>
      </c>
      <c r="CA138" s="33">
        <v>0</v>
      </c>
      <c r="CB138" s="33">
        <v>0</v>
      </c>
      <c r="CC138" s="33">
        <v>0</v>
      </c>
      <c r="CD138" s="33">
        <v>0</v>
      </c>
      <c r="CE138" s="33">
        <v>0</v>
      </c>
      <c r="CF138" s="33">
        <v>0</v>
      </c>
      <c r="CG138" s="33">
        <v>0</v>
      </c>
      <c r="CH138" s="33">
        <v>0</v>
      </c>
      <c r="CI138" s="33">
        <v>38</v>
      </c>
      <c r="CJ138" s="33">
        <v>25725</v>
      </c>
      <c r="CK138" s="33">
        <v>977550</v>
      </c>
      <c r="CL138" s="33"/>
      <c r="CM138" s="33">
        <v>0</v>
      </c>
      <c r="CN138" s="33">
        <v>0</v>
      </c>
      <c r="CO138" s="33"/>
      <c r="CP138" s="33">
        <v>0</v>
      </c>
      <c r="CQ138" s="33">
        <v>0</v>
      </c>
      <c r="CR138" s="33"/>
      <c r="CS138" s="33">
        <v>0</v>
      </c>
      <c r="CT138" s="33">
        <v>0</v>
      </c>
      <c r="CU138" s="33"/>
      <c r="CV138" s="33">
        <v>0</v>
      </c>
      <c r="CW138" s="33">
        <v>0</v>
      </c>
      <c r="CX138" s="33"/>
      <c r="CY138" s="33">
        <v>0</v>
      </c>
      <c r="CZ138" s="33">
        <v>0</v>
      </c>
      <c r="DA138" s="33"/>
      <c r="DB138" s="33">
        <v>0</v>
      </c>
      <c r="DC138" s="33">
        <v>0</v>
      </c>
      <c r="DD138" s="33">
        <v>0</v>
      </c>
      <c r="DE138" s="33">
        <v>0</v>
      </c>
      <c r="DF138" s="66">
        <v>0</v>
      </c>
    </row>
    <row r="139" spans="1:110" ht="24.95" customHeight="1">
      <c r="A139" s="89">
        <v>115</v>
      </c>
      <c r="B139" s="74" t="s">
        <v>269</v>
      </c>
      <c r="C139" s="60"/>
      <c r="D139" s="75"/>
      <c r="E139" s="70" t="s">
        <v>297</v>
      </c>
      <c r="F139" s="60" t="s">
        <v>255</v>
      </c>
      <c r="G139" s="64">
        <v>0</v>
      </c>
      <c r="H139" s="76">
        <v>0</v>
      </c>
      <c r="I139" s="76">
        <v>0</v>
      </c>
      <c r="J139" s="33"/>
      <c r="K139" s="33">
        <v>0</v>
      </c>
      <c r="L139" s="33">
        <f t="shared" si="239"/>
        <v>0</v>
      </c>
      <c r="M139" s="34"/>
      <c r="N139" s="33">
        <f t="shared" si="242"/>
        <v>0</v>
      </c>
      <c r="O139" s="33">
        <f t="shared" si="228"/>
        <v>0</v>
      </c>
      <c r="P139" s="137">
        <f t="shared" si="236"/>
        <v>0</v>
      </c>
      <c r="Q139" s="34">
        <f t="shared" si="241"/>
        <v>0</v>
      </c>
      <c r="R139" s="33">
        <f t="shared" si="240"/>
        <v>0</v>
      </c>
      <c r="S139" s="36">
        <v>47482</v>
      </c>
      <c r="T139" s="34">
        <v>380</v>
      </c>
      <c r="U139" s="34">
        <v>7875</v>
      </c>
      <c r="V139" s="34">
        <v>2992500</v>
      </c>
      <c r="W139" s="34">
        <v>380</v>
      </c>
      <c r="X139" s="34">
        <v>7875</v>
      </c>
      <c r="Y139" s="34">
        <v>2992500</v>
      </c>
      <c r="Z139" s="34"/>
      <c r="AA139" s="33">
        <v>0</v>
      </c>
      <c r="AB139" s="34">
        <f t="shared" si="229"/>
        <v>0</v>
      </c>
      <c r="AC139" s="33"/>
      <c r="AD139" s="33"/>
      <c r="AE139" s="33"/>
      <c r="AF139" s="65">
        <f t="shared" si="230"/>
        <v>380</v>
      </c>
      <c r="AG139" s="33">
        <f t="shared" si="231"/>
        <v>7875</v>
      </c>
      <c r="AH139" s="65">
        <f t="shared" si="232"/>
        <v>2992500</v>
      </c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>
        <v>380</v>
      </c>
      <c r="AV139" s="33">
        <v>7875</v>
      </c>
      <c r="AW139" s="33">
        <v>2992500</v>
      </c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>
        <v>0</v>
      </c>
      <c r="BJ139" s="33"/>
      <c r="BK139" s="33">
        <v>0</v>
      </c>
      <c r="BL139" s="33">
        <v>0</v>
      </c>
      <c r="BM139" s="33"/>
      <c r="BN139" s="33">
        <v>0</v>
      </c>
      <c r="BO139" s="33">
        <v>0</v>
      </c>
      <c r="BP139" s="33"/>
      <c r="BQ139" s="33"/>
      <c r="BR139" s="33"/>
      <c r="BT139" s="65">
        <f t="shared" si="233"/>
        <v>380</v>
      </c>
      <c r="BU139" s="33">
        <f t="shared" si="234"/>
        <v>7875</v>
      </c>
      <c r="BV139" s="65">
        <f t="shared" si="235"/>
        <v>2992500</v>
      </c>
      <c r="BW139" s="33">
        <v>0</v>
      </c>
      <c r="BX139" s="33">
        <v>0</v>
      </c>
      <c r="BY139" s="33">
        <v>0</v>
      </c>
      <c r="BZ139" s="33">
        <v>0</v>
      </c>
      <c r="CA139" s="33">
        <v>0</v>
      </c>
      <c r="CB139" s="33">
        <v>0</v>
      </c>
      <c r="CC139" s="33">
        <v>0</v>
      </c>
      <c r="CD139" s="33">
        <v>0</v>
      </c>
      <c r="CE139" s="33">
        <v>0</v>
      </c>
      <c r="CF139" s="33">
        <v>0</v>
      </c>
      <c r="CG139" s="33">
        <v>0</v>
      </c>
      <c r="CH139" s="33">
        <v>0</v>
      </c>
      <c r="CI139" s="33">
        <v>380</v>
      </c>
      <c r="CJ139" s="33">
        <v>7875</v>
      </c>
      <c r="CK139" s="33">
        <v>2992500</v>
      </c>
      <c r="CL139" s="33"/>
      <c r="CM139" s="33">
        <v>0</v>
      </c>
      <c r="CN139" s="33">
        <v>0</v>
      </c>
      <c r="CO139" s="33"/>
      <c r="CP139" s="33">
        <v>0</v>
      </c>
      <c r="CQ139" s="33">
        <v>0</v>
      </c>
      <c r="CR139" s="33"/>
      <c r="CS139" s="33">
        <v>0</v>
      </c>
      <c r="CT139" s="33">
        <v>0</v>
      </c>
      <c r="CU139" s="33"/>
      <c r="CV139" s="33">
        <v>0</v>
      </c>
      <c r="CW139" s="33">
        <v>0</v>
      </c>
      <c r="CX139" s="33"/>
      <c r="CY139" s="33">
        <v>0</v>
      </c>
      <c r="CZ139" s="33">
        <v>0</v>
      </c>
      <c r="DA139" s="33"/>
      <c r="DB139" s="33">
        <v>0</v>
      </c>
      <c r="DC139" s="33">
        <v>0</v>
      </c>
      <c r="DD139" s="33">
        <v>0</v>
      </c>
      <c r="DE139" s="33">
        <v>0</v>
      </c>
      <c r="DF139" s="66">
        <v>0</v>
      </c>
    </row>
    <row r="140" spans="1:110" ht="24.95" customHeight="1">
      <c r="A140" s="89">
        <v>116</v>
      </c>
      <c r="B140" s="74" t="s">
        <v>270</v>
      </c>
      <c r="C140" s="60"/>
      <c r="D140" s="75"/>
      <c r="E140" s="70"/>
      <c r="F140" s="60" t="s">
        <v>256</v>
      </c>
      <c r="G140" s="64">
        <v>0</v>
      </c>
      <c r="H140" s="76">
        <v>0</v>
      </c>
      <c r="I140" s="76">
        <v>0</v>
      </c>
      <c r="J140" s="33"/>
      <c r="K140" s="33">
        <v>0</v>
      </c>
      <c r="L140" s="33">
        <f t="shared" si="239"/>
        <v>0</v>
      </c>
      <c r="M140" s="34"/>
      <c r="N140" s="33">
        <f t="shared" si="242"/>
        <v>0</v>
      </c>
      <c r="O140" s="33">
        <f t="shared" si="228"/>
        <v>0</v>
      </c>
      <c r="P140" s="137">
        <f t="shared" si="236"/>
        <v>0</v>
      </c>
      <c r="Q140" s="34">
        <f t="shared" si="241"/>
        <v>0</v>
      </c>
      <c r="R140" s="33">
        <f t="shared" si="240"/>
        <v>0</v>
      </c>
      <c r="S140" s="36"/>
      <c r="T140" s="34">
        <v>10</v>
      </c>
      <c r="U140" s="34">
        <v>102600</v>
      </c>
      <c r="V140" s="34">
        <v>1026000</v>
      </c>
      <c r="W140" s="34">
        <v>10</v>
      </c>
      <c r="X140" s="34">
        <v>102600</v>
      </c>
      <c r="Y140" s="34">
        <v>1026000</v>
      </c>
      <c r="Z140" s="34"/>
      <c r="AA140" s="33">
        <v>0</v>
      </c>
      <c r="AB140" s="34">
        <f t="shared" si="229"/>
        <v>0</v>
      </c>
      <c r="AC140" s="33"/>
      <c r="AD140" s="33"/>
      <c r="AE140" s="33"/>
      <c r="AF140" s="65">
        <f t="shared" si="230"/>
        <v>10</v>
      </c>
      <c r="AG140" s="33">
        <f t="shared" si="231"/>
        <v>102600</v>
      </c>
      <c r="AH140" s="65">
        <f t="shared" si="232"/>
        <v>1026000</v>
      </c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>
        <v>10</v>
      </c>
      <c r="AV140" s="33">
        <v>102600</v>
      </c>
      <c r="AW140" s="33">
        <v>1026000</v>
      </c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>
        <v>0</v>
      </c>
      <c r="BJ140" s="33"/>
      <c r="BK140" s="33">
        <v>0</v>
      </c>
      <c r="BL140" s="33">
        <v>0</v>
      </c>
      <c r="BM140" s="33"/>
      <c r="BN140" s="33">
        <v>0</v>
      </c>
      <c r="BO140" s="33">
        <v>0</v>
      </c>
      <c r="BP140" s="33"/>
      <c r="BQ140" s="33"/>
      <c r="BR140" s="33"/>
      <c r="BT140" s="65">
        <f t="shared" si="233"/>
        <v>10</v>
      </c>
      <c r="BU140" s="33">
        <f t="shared" si="234"/>
        <v>102600</v>
      </c>
      <c r="BV140" s="65">
        <f t="shared" si="235"/>
        <v>1026000</v>
      </c>
      <c r="BW140" s="33">
        <v>0</v>
      </c>
      <c r="BX140" s="33">
        <v>0</v>
      </c>
      <c r="BY140" s="33">
        <v>0</v>
      </c>
      <c r="BZ140" s="33">
        <v>0</v>
      </c>
      <c r="CA140" s="33">
        <v>0</v>
      </c>
      <c r="CB140" s="33">
        <v>0</v>
      </c>
      <c r="CC140" s="33">
        <v>0</v>
      </c>
      <c r="CD140" s="33">
        <v>0</v>
      </c>
      <c r="CE140" s="33">
        <v>0</v>
      </c>
      <c r="CF140" s="33">
        <v>0</v>
      </c>
      <c r="CG140" s="33">
        <v>0</v>
      </c>
      <c r="CH140" s="33">
        <v>0</v>
      </c>
      <c r="CI140" s="33">
        <v>10</v>
      </c>
      <c r="CJ140" s="33">
        <v>102600</v>
      </c>
      <c r="CK140" s="33">
        <v>1026000</v>
      </c>
      <c r="CL140" s="33"/>
      <c r="CM140" s="33">
        <v>0</v>
      </c>
      <c r="CN140" s="33">
        <v>0</v>
      </c>
      <c r="CO140" s="33"/>
      <c r="CP140" s="33">
        <v>0</v>
      </c>
      <c r="CQ140" s="33">
        <v>0</v>
      </c>
      <c r="CR140" s="33"/>
      <c r="CS140" s="33">
        <v>0</v>
      </c>
      <c r="CT140" s="33">
        <v>0</v>
      </c>
      <c r="CU140" s="33"/>
      <c r="CV140" s="33">
        <v>0</v>
      </c>
      <c r="CW140" s="33">
        <v>0</v>
      </c>
      <c r="CX140" s="33"/>
      <c r="CY140" s="33">
        <v>0</v>
      </c>
      <c r="CZ140" s="33">
        <v>0</v>
      </c>
      <c r="DA140" s="33"/>
      <c r="DB140" s="33">
        <v>0</v>
      </c>
      <c r="DC140" s="33">
        <v>0</v>
      </c>
      <c r="DD140" s="33">
        <v>0</v>
      </c>
      <c r="DE140" s="33">
        <v>0</v>
      </c>
      <c r="DF140" s="66">
        <v>0</v>
      </c>
    </row>
    <row r="141" spans="1:110" ht="24.95" customHeight="1">
      <c r="A141" s="89">
        <v>117</v>
      </c>
      <c r="B141" s="74" t="s">
        <v>271</v>
      </c>
      <c r="C141" s="60"/>
      <c r="D141" s="75"/>
      <c r="E141" s="70" t="s">
        <v>298</v>
      </c>
      <c r="F141" s="60" t="s">
        <v>196</v>
      </c>
      <c r="G141" s="64">
        <v>0</v>
      </c>
      <c r="H141" s="76">
        <v>0</v>
      </c>
      <c r="I141" s="76">
        <v>0</v>
      </c>
      <c r="J141" s="33"/>
      <c r="K141" s="33">
        <v>0</v>
      </c>
      <c r="L141" s="33">
        <f t="shared" si="239"/>
        <v>0</v>
      </c>
      <c r="M141" s="34"/>
      <c r="N141" s="33">
        <f t="shared" si="242"/>
        <v>0</v>
      </c>
      <c r="O141" s="33">
        <f t="shared" si="228"/>
        <v>0</v>
      </c>
      <c r="P141" s="137">
        <f t="shared" si="236"/>
        <v>0</v>
      </c>
      <c r="Q141" s="34">
        <f t="shared" si="241"/>
        <v>0</v>
      </c>
      <c r="R141" s="33">
        <f t="shared" si="240"/>
        <v>0</v>
      </c>
      <c r="S141" s="36">
        <v>46846</v>
      </c>
      <c r="T141" s="34">
        <v>114</v>
      </c>
      <c r="U141" s="34">
        <v>8268.75</v>
      </c>
      <c r="V141" s="34">
        <v>942637.5</v>
      </c>
      <c r="W141" s="34">
        <v>114</v>
      </c>
      <c r="X141" s="34">
        <v>8268.75</v>
      </c>
      <c r="Y141" s="34">
        <v>942637.5</v>
      </c>
      <c r="Z141" s="34"/>
      <c r="AA141" s="33">
        <v>0</v>
      </c>
      <c r="AB141" s="34">
        <f t="shared" si="229"/>
        <v>0</v>
      </c>
      <c r="AC141" s="33"/>
      <c r="AD141" s="33"/>
      <c r="AE141" s="33"/>
      <c r="AF141" s="65">
        <f t="shared" si="230"/>
        <v>114</v>
      </c>
      <c r="AG141" s="33">
        <f t="shared" si="231"/>
        <v>8268.75</v>
      </c>
      <c r="AH141" s="65">
        <f t="shared" si="232"/>
        <v>942637.5</v>
      </c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>
        <v>114</v>
      </c>
      <c r="AV141" s="33">
        <v>8268.75</v>
      </c>
      <c r="AW141" s="33">
        <v>942637.5</v>
      </c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>
        <v>0</v>
      </c>
      <c r="BJ141" s="33"/>
      <c r="BK141" s="33">
        <v>0</v>
      </c>
      <c r="BL141" s="33">
        <v>0</v>
      </c>
      <c r="BM141" s="33"/>
      <c r="BN141" s="33">
        <v>0</v>
      </c>
      <c r="BO141" s="33">
        <v>0</v>
      </c>
      <c r="BP141" s="33"/>
      <c r="BQ141" s="33"/>
      <c r="BR141" s="33"/>
      <c r="BT141" s="65">
        <f t="shared" si="233"/>
        <v>114</v>
      </c>
      <c r="BU141" s="33">
        <f t="shared" si="234"/>
        <v>8268.75</v>
      </c>
      <c r="BV141" s="65">
        <f t="shared" si="235"/>
        <v>942637.5</v>
      </c>
      <c r="BW141" s="33">
        <v>0</v>
      </c>
      <c r="BX141" s="33">
        <v>0</v>
      </c>
      <c r="BY141" s="33">
        <v>0</v>
      </c>
      <c r="BZ141" s="33">
        <v>0</v>
      </c>
      <c r="CA141" s="33">
        <v>0</v>
      </c>
      <c r="CB141" s="33">
        <v>0</v>
      </c>
      <c r="CC141" s="33">
        <v>0</v>
      </c>
      <c r="CD141" s="33">
        <v>0</v>
      </c>
      <c r="CE141" s="33">
        <v>0</v>
      </c>
      <c r="CF141" s="33">
        <v>0</v>
      </c>
      <c r="CG141" s="33">
        <v>0</v>
      </c>
      <c r="CH141" s="33">
        <v>0</v>
      </c>
      <c r="CI141" s="33">
        <v>114</v>
      </c>
      <c r="CJ141" s="33">
        <v>8268.75</v>
      </c>
      <c r="CK141" s="33">
        <v>942637.5</v>
      </c>
      <c r="CL141" s="33"/>
      <c r="CM141" s="33">
        <v>0</v>
      </c>
      <c r="CN141" s="33">
        <v>0</v>
      </c>
      <c r="CO141" s="33"/>
      <c r="CP141" s="33">
        <v>0</v>
      </c>
      <c r="CQ141" s="33">
        <v>0</v>
      </c>
      <c r="CR141" s="33"/>
      <c r="CS141" s="33">
        <v>0</v>
      </c>
      <c r="CT141" s="33">
        <v>0</v>
      </c>
      <c r="CU141" s="33"/>
      <c r="CV141" s="33">
        <v>0</v>
      </c>
      <c r="CW141" s="33">
        <v>0</v>
      </c>
      <c r="CX141" s="33"/>
      <c r="CY141" s="33">
        <v>0</v>
      </c>
      <c r="CZ141" s="33">
        <v>0</v>
      </c>
      <c r="DA141" s="33"/>
      <c r="DB141" s="33">
        <v>0</v>
      </c>
      <c r="DC141" s="33">
        <v>0</v>
      </c>
      <c r="DD141" s="33">
        <v>0</v>
      </c>
      <c r="DE141" s="33">
        <v>0</v>
      </c>
      <c r="DF141" s="66">
        <v>0</v>
      </c>
    </row>
    <row r="142" spans="1:110" ht="24.95" customHeight="1">
      <c r="A142" s="89">
        <v>118</v>
      </c>
      <c r="B142" s="74" t="s">
        <v>272</v>
      </c>
      <c r="C142" s="60"/>
      <c r="D142" s="75"/>
      <c r="E142" s="70" t="s">
        <v>298</v>
      </c>
      <c r="F142" s="60" t="s">
        <v>196</v>
      </c>
      <c r="G142" s="64">
        <v>0</v>
      </c>
      <c r="H142" s="76">
        <v>0</v>
      </c>
      <c r="I142" s="76">
        <v>0</v>
      </c>
      <c r="J142" s="33"/>
      <c r="K142" s="33">
        <v>0</v>
      </c>
      <c r="L142" s="33">
        <f t="shared" si="239"/>
        <v>0</v>
      </c>
      <c r="M142" s="34"/>
      <c r="N142" s="33">
        <f t="shared" si="242"/>
        <v>0</v>
      </c>
      <c r="O142" s="33">
        <f t="shared" si="228"/>
        <v>0</v>
      </c>
      <c r="P142" s="34">
        <f t="shared" si="236"/>
        <v>0</v>
      </c>
      <c r="Q142" s="34">
        <f t="shared" si="241"/>
        <v>0</v>
      </c>
      <c r="R142" s="33">
        <f t="shared" si="240"/>
        <v>0</v>
      </c>
      <c r="S142" s="36"/>
      <c r="T142" s="34">
        <v>0</v>
      </c>
      <c r="U142" s="34">
        <v>0</v>
      </c>
      <c r="V142" s="34">
        <v>0</v>
      </c>
      <c r="W142" s="34">
        <v>0</v>
      </c>
      <c r="X142" s="34">
        <v>0</v>
      </c>
      <c r="Y142" s="34">
        <v>0</v>
      </c>
      <c r="Z142" s="34"/>
      <c r="AA142" s="33">
        <v>0</v>
      </c>
      <c r="AB142" s="34">
        <f t="shared" si="229"/>
        <v>0</v>
      </c>
      <c r="AC142" s="33"/>
      <c r="AD142" s="33"/>
      <c r="AE142" s="33"/>
      <c r="AF142" s="65">
        <f t="shared" si="230"/>
        <v>0</v>
      </c>
      <c r="AG142" s="33">
        <f t="shared" si="231"/>
        <v>0</v>
      </c>
      <c r="AH142" s="65">
        <f t="shared" si="232"/>
        <v>0</v>
      </c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>
        <v>0</v>
      </c>
      <c r="AW142" s="33">
        <v>0</v>
      </c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>
        <v>0</v>
      </c>
      <c r="BJ142" s="33"/>
      <c r="BK142" s="33">
        <v>0</v>
      </c>
      <c r="BL142" s="33">
        <v>0</v>
      </c>
      <c r="BM142" s="33"/>
      <c r="BN142" s="33">
        <v>0</v>
      </c>
      <c r="BO142" s="33">
        <v>0</v>
      </c>
      <c r="BP142" s="33"/>
      <c r="BQ142" s="33"/>
      <c r="BR142" s="33"/>
      <c r="BT142" s="65">
        <f t="shared" si="233"/>
        <v>0</v>
      </c>
      <c r="BU142" s="33">
        <f t="shared" si="234"/>
        <v>0</v>
      </c>
      <c r="BV142" s="65">
        <f t="shared" si="235"/>
        <v>0</v>
      </c>
      <c r="BW142" s="33">
        <v>0</v>
      </c>
      <c r="BX142" s="33">
        <v>0</v>
      </c>
      <c r="BY142" s="33">
        <v>0</v>
      </c>
      <c r="BZ142" s="33">
        <v>0</v>
      </c>
      <c r="CA142" s="33">
        <v>0</v>
      </c>
      <c r="CB142" s="33">
        <v>0</v>
      </c>
      <c r="CC142" s="33">
        <v>0</v>
      </c>
      <c r="CD142" s="33">
        <v>0</v>
      </c>
      <c r="CE142" s="33">
        <v>0</v>
      </c>
      <c r="CF142" s="33">
        <v>0</v>
      </c>
      <c r="CG142" s="33">
        <v>0</v>
      </c>
      <c r="CH142" s="33">
        <v>0</v>
      </c>
      <c r="CI142" s="33">
        <v>0</v>
      </c>
      <c r="CJ142" s="33">
        <v>0</v>
      </c>
      <c r="CK142" s="33">
        <v>0</v>
      </c>
      <c r="CL142" s="33"/>
      <c r="CM142" s="33">
        <v>0</v>
      </c>
      <c r="CN142" s="33">
        <v>0</v>
      </c>
      <c r="CO142" s="33"/>
      <c r="CP142" s="33">
        <v>0</v>
      </c>
      <c r="CQ142" s="33">
        <v>0</v>
      </c>
      <c r="CR142" s="33"/>
      <c r="CS142" s="33">
        <v>0</v>
      </c>
      <c r="CT142" s="33">
        <v>0</v>
      </c>
      <c r="CU142" s="33"/>
      <c r="CV142" s="33">
        <v>0</v>
      </c>
      <c r="CW142" s="33">
        <v>0</v>
      </c>
      <c r="CX142" s="33"/>
      <c r="CY142" s="33">
        <v>0</v>
      </c>
      <c r="CZ142" s="33">
        <v>0</v>
      </c>
      <c r="DA142" s="33"/>
      <c r="DB142" s="33">
        <v>0</v>
      </c>
      <c r="DC142" s="33">
        <v>0</v>
      </c>
      <c r="DD142" s="33">
        <v>0</v>
      </c>
      <c r="DE142" s="33">
        <v>0</v>
      </c>
      <c r="DF142" s="66">
        <v>0</v>
      </c>
    </row>
    <row r="143" spans="1:110" ht="24.95" customHeight="1">
      <c r="A143" s="89">
        <v>119</v>
      </c>
      <c r="B143" s="74" t="s">
        <v>273</v>
      </c>
      <c r="C143" s="60"/>
      <c r="D143" s="75"/>
      <c r="E143" s="70" t="s">
        <v>154</v>
      </c>
      <c r="F143" s="60" t="s">
        <v>196</v>
      </c>
      <c r="G143" s="64">
        <v>0</v>
      </c>
      <c r="H143" s="76">
        <v>0</v>
      </c>
      <c r="I143" s="76">
        <v>0</v>
      </c>
      <c r="J143" s="33"/>
      <c r="K143" s="33">
        <v>0</v>
      </c>
      <c r="L143" s="33">
        <f t="shared" si="239"/>
        <v>0</v>
      </c>
      <c r="M143" s="34"/>
      <c r="N143" s="33">
        <f t="shared" si="242"/>
        <v>0</v>
      </c>
      <c r="O143" s="33">
        <f t="shared" si="228"/>
        <v>0</v>
      </c>
      <c r="P143" s="34">
        <f t="shared" si="236"/>
        <v>0</v>
      </c>
      <c r="Q143" s="34">
        <f t="shared" si="241"/>
        <v>0</v>
      </c>
      <c r="R143" s="33">
        <f t="shared" si="240"/>
        <v>0</v>
      </c>
      <c r="S143" s="36">
        <v>46386</v>
      </c>
      <c r="T143" s="34">
        <v>38</v>
      </c>
      <c r="U143" s="34">
        <v>6835.5</v>
      </c>
      <c r="V143" s="34">
        <v>259749</v>
      </c>
      <c r="W143" s="34">
        <v>38</v>
      </c>
      <c r="X143" s="34">
        <v>6835.5</v>
      </c>
      <c r="Y143" s="34">
        <v>259749</v>
      </c>
      <c r="Z143" s="34"/>
      <c r="AA143" s="33">
        <v>0</v>
      </c>
      <c r="AB143" s="34">
        <f t="shared" si="229"/>
        <v>0</v>
      </c>
      <c r="AC143" s="33"/>
      <c r="AD143" s="33"/>
      <c r="AE143" s="33"/>
      <c r="AF143" s="65">
        <f t="shared" si="230"/>
        <v>38</v>
      </c>
      <c r="AG143" s="33">
        <f t="shared" si="231"/>
        <v>6835.5</v>
      </c>
      <c r="AH143" s="65">
        <f t="shared" si="232"/>
        <v>259749</v>
      </c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>
        <v>38</v>
      </c>
      <c r="AV143" s="33">
        <v>6835.5</v>
      </c>
      <c r="AW143" s="33">
        <v>259749</v>
      </c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>
        <v>0</v>
      </c>
      <c r="BJ143" s="33"/>
      <c r="BK143" s="33">
        <v>0</v>
      </c>
      <c r="BL143" s="33">
        <v>0</v>
      </c>
      <c r="BM143" s="33"/>
      <c r="BN143" s="33">
        <v>0</v>
      </c>
      <c r="BO143" s="33">
        <v>0</v>
      </c>
      <c r="BP143" s="33"/>
      <c r="BQ143" s="33"/>
      <c r="BR143" s="33"/>
      <c r="BT143" s="65">
        <f t="shared" si="233"/>
        <v>38</v>
      </c>
      <c r="BU143" s="33">
        <f t="shared" si="234"/>
        <v>6835.5</v>
      </c>
      <c r="BV143" s="65">
        <f t="shared" si="235"/>
        <v>259749</v>
      </c>
      <c r="BW143" s="33">
        <v>0</v>
      </c>
      <c r="BX143" s="33">
        <v>0</v>
      </c>
      <c r="BY143" s="33">
        <v>0</v>
      </c>
      <c r="BZ143" s="33">
        <v>0</v>
      </c>
      <c r="CA143" s="33">
        <v>0</v>
      </c>
      <c r="CB143" s="33">
        <v>0</v>
      </c>
      <c r="CC143" s="33">
        <v>0</v>
      </c>
      <c r="CD143" s="33">
        <v>0</v>
      </c>
      <c r="CE143" s="33">
        <v>0</v>
      </c>
      <c r="CF143" s="33">
        <v>0</v>
      </c>
      <c r="CG143" s="33">
        <v>0</v>
      </c>
      <c r="CH143" s="33">
        <v>0</v>
      </c>
      <c r="CI143" s="33">
        <v>38</v>
      </c>
      <c r="CJ143" s="33">
        <v>6835.5</v>
      </c>
      <c r="CK143" s="33">
        <v>259749</v>
      </c>
      <c r="CL143" s="33"/>
      <c r="CM143" s="33">
        <v>0</v>
      </c>
      <c r="CN143" s="33">
        <v>0</v>
      </c>
      <c r="CO143" s="33"/>
      <c r="CP143" s="33">
        <v>0</v>
      </c>
      <c r="CQ143" s="33">
        <v>0</v>
      </c>
      <c r="CR143" s="33"/>
      <c r="CS143" s="33">
        <v>0</v>
      </c>
      <c r="CT143" s="33">
        <v>0</v>
      </c>
      <c r="CU143" s="33"/>
      <c r="CV143" s="33">
        <v>0</v>
      </c>
      <c r="CW143" s="33">
        <v>0</v>
      </c>
      <c r="CX143" s="33"/>
      <c r="CY143" s="33">
        <v>0</v>
      </c>
      <c r="CZ143" s="33">
        <v>0</v>
      </c>
      <c r="DA143" s="33"/>
      <c r="DB143" s="33">
        <v>0</v>
      </c>
      <c r="DC143" s="33">
        <v>0</v>
      </c>
      <c r="DD143" s="33">
        <v>0</v>
      </c>
      <c r="DE143" s="33">
        <v>0</v>
      </c>
      <c r="DF143" s="66">
        <v>0</v>
      </c>
    </row>
    <row r="144" spans="1:110" ht="24.95" customHeight="1">
      <c r="A144" s="89">
        <v>120</v>
      </c>
      <c r="B144" s="74" t="s">
        <v>231</v>
      </c>
      <c r="C144" s="60"/>
      <c r="D144" s="75"/>
      <c r="E144" s="70"/>
      <c r="F144" s="60" t="s">
        <v>256</v>
      </c>
      <c r="G144" s="64">
        <v>0</v>
      </c>
      <c r="H144" s="76">
        <v>0</v>
      </c>
      <c r="I144" s="76">
        <v>0</v>
      </c>
      <c r="J144" s="33"/>
      <c r="K144" s="33">
        <v>0</v>
      </c>
      <c r="L144" s="33">
        <f t="shared" si="239"/>
        <v>0</v>
      </c>
      <c r="M144" s="34"/>
      <c r="N144" s="33">
        <f t="shared" si="242"/>
        <v>0</v>
      </c>
      <c r="O144" s="33">
        <f t="shared" si="228"/>
        <v>0</v>
      </c>
      <c r="P144" s="34">
        <f t="shared" si="236"/>
        <v>0</v>
      </c>
      <c r="Q144" s="34">
        <f t="shared" si="241"/>
        <v>0</v>
      </c>
      <c r="R144" s="33">
        <f t="shared" si="240"/>
        <v>0</v>
      </c>
      <c r="S144" s="36"/>
      <c r="T144" s="34">
        <v>0</v>
      </c>
      <c r="U144" s="34">
        <v>0</v>
      </c>
      <c r="V144" s="34">
        <v>0</v>
      </c>
      <c r="W144" s="34">
        <v>0</v>
      </c>
      <c r="X144" s="34">
        <v>0</v>
      </c>
      <c r="Y144" s="34">
        <v>0</v>
      </c>
      <c r="Z144" s="34"/>
      <c r="AA144" s="33">
        <v>0</v>
      </c>
      <c r="AB144" s="34">
        <f t="shared" si="229"/>
        <v>0</v>
      </c>
      <c r="AC144" s="33"/>
      <c r="AD144" s="33"/>
      <c r="AE144" s="33"/>
      <c r="AF144" s="65">
        <f t="shared" si="230"/>
        <v>0</v>
      </c>
      <c r="AG144" s="33">
        <f t="shared" si="231"/>
        <v>0</v>
      </c>
      <c r="AH144" s="65">
        <f t="shared" si="232"/>
        <v>0</v>
      </c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>
        <v>0</v>
      </c>
      <c r="AW144" s="33">
        <v>0</v>
      </c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>
        <v>0</v>
      </c>
      <c r="BJ144" s="33"/>
      <c r="BK144" s="33">
        <v>0</v>
      </c>
      <c r="BL144" s="33">
        <v>0</v>
      </c>
      <c r="BM144" s="33"/>
      <c r="BN144" s="33">
        <v>0</v>
      </c>
      <c r="BO144" s="33">
        <v>0</v>
      </c>
      <c r="BP144" s="33"/>
      <c r="BQ144" s="33"/>
      <c r="BR144" s="33"/>
      <c r="BT144" s="65">
        <f t="shared" si="233"/>
        <v>0</v>
      </c>
      <c r="BU144" s="33">
        <f t="shared" si="234"/>
        <v>0</v>
      </c>
      <c r="BV144" s="65">
        <f t="shared" si="235"/>
        <v>0</v>
      </c>
      <c r="BW144" s="33">
        <v>0</v>
      </c>
      <c r="BX144" s="33">
        <v>0</v>
      </c>
      <c r="BY144" s="33">
        <v>0</v>
      </c>
      <c r="BZ144" s="33">
        <v>0</v>
      </c>
      <c r="CA144" s="33">
        <v>0</v>
      </c>
      <c r="CB144" s="33">
        <v>0</v>
      </c>
      <c r="CC144" s="33">
        <v>0</v>
      </c>
      <c r="CD144" s="33">
        <v>0</v>
      </c>
      <c r="CE144" s="33">
        <v>0</v>
      </c>
      <c r="CF144" s="33">
        <v>0</v>
      </c>
      <c r="CG144" s="33">
        <v>0</v>
      </c>
      <c r="CH144" s="33">
        <v>0</v>
      </c>
      <c r="CI144" s="33">
        <v>0</v>
      </c>
      <c r="CJ144" s="33">
        <v>0</v>
      </c>
      <c r="CK144" s="33">
        <v>0</v>
      </c>
      <c r="CL144" s="33"/>
      <c r="CM144" s="33">
        <v>0</v>
      </c>
      <c r="CN144" s="33">
        <v>0</v>
      </c>
      <c r="CO144" s="33"/>
      <c r="CP144" s="33">
        <v>0</v>
      </c>
      <c r="CQ144" s="33">
        <v>0</v>
      </c>
      <c r="CR144" s="33"/>
      <c r="CS144" s="33">
        <v>0</v>
      </c>
      <c r="CT144" s="33">
        <v>0</v>
      </c>
      <c r="CU144" s="33"/>
      <c r="CV144" s="33">
        <v>0</v>
      </c>
      <c r="CW144" s="33">
        <v>0</v>
      </c>
      <c r="CX144" s="33"/>
      <c r="CY144" s="33">
        <v>0</v>
      </c>
      <c r="CZ144" s="33">
        <v>0</v>
      </c>
      <c r="DA144" s="33"/>
      <c r="DB144" s="33">
        <v>0</v>
      </c>
      <c r="DC144" s="33">
        <v>0</v>
      </c>
      <c r="DD144" s="33">
        <v>0</v>
      </c>
      <c r="DE144" s="33">
        <v>0</v>
      </c>
      <c r="DF144" s="66">
        <v>0</v>
      </c>
    </row>
    <row r="145" spans="1:110" ht="24.95" customHeight="1">
      <c r="A145" s="89">
        <v>121</v>
      </c>
      <c r="B145" s="74" t="s">
        <v>274</v>
      </c>
      <c r="C145" s="60"/>
      <c r="D145" s="75"/>
      <c r="E145" s="70"/>
      <c r="F145" s="60" t="s">
        <v>289</v>
      </c>
      <c r="G145" s="64">
        <v>0</v>
      </c>
      <c r="H145" s="76">
        <v>0</v>
      </c>
      <c r="I145" s="76">
        <v>0</v>
      </c>
      <c r="J145" s="33"/>
      <c r="K145" s="33">
        <v>0</v>
      </c>
      <c r="L145" s="33">
        <f t="shared" si="239"/>
        <v>0</v>
      </c>
      <c r="M145" s="34"/>
      <c r="N145" s="33">
        <f t="shared" si="242"/>
        <v>0</v>
      </c>
      <c r="O145" s="33">
        <f t="shared" si="228"/>
        <v>0</v>
      </c>
      <c r="P145" s="34">
        <f t="shared" si="236"/>
        <v>0</v>
      </c>
      <c r="Q145" s="34">
        <f t="shared" si="241"/>
        <v>0</v>
      </c>
      <c r="R145" s="33">
        <f t="shared" si="240"/>
        <v>0</v>
      </c>
      <c r="S145" s="36">
        <v>46538</v>
      </c>
      <c r="T145" s="34">
        <v>114</v>
      </c>
      <c r="U145" s="34">
        <v>6300</v>
      </c>
      <c r="V145" s="34">
        <v>718200</v>
      </c>
      <c r="W145" s="34">
        <v>114</v>
      </c>
      <c r="X145" s="34">
        <v>6300</v>
      </c>
      <c r="Y145" s="34">
        <v>718200</v>
      </c>
      <c r="Z145" s="34"/>
      <c r="AA145" s="33">
        <v>0</v>
      </c>
      <c r="AB145" s="34">
        <f t="shared" si="229"/>
        <v>0</v>
      </c>
      <c r="AC145" s="33"/>
      <c r="AD145" s="33"/>
      <c r="AE145" s="33"/>
      <c r="AF145" s="65">
        <f t="shared" si="230"/>
        <v>114</v>
      </c>
      <c r="AG145" s="33">
        <f t="shared" si="231"/>
        <v>6300</v>
      </c>
      <c r="AH145" s="65">
        <f t="shared" si="232"/>
        <v>718200</v>
      </c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>
        <v>114</v>
      </c>
      <c r="AV145" s="33">
        <v>6300</v>
      </c>
      <c r="AW145" s="33">
        <v>718200</v>
      </c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>
        <v>0</v>
      </c>
      <c r="BJ145" s="33"/>
      <c r="BK145" s="33">
        <v>0</v>
      </c>
      <c r="BL145" s="33">
        <v>0</v>
      </c>
      <c r="BM145" s="33"/>
      <c r="BN145" s="33">
        <v>0</v>
      </c>
      <c r="BO145" s="33">
        <v>0</v>
      </c>
      <c r="BP145" s="33"/>
      <c r="BQ145" s="33"/>
      <c r="BR145" s="33"/>
      <c r="BT145" s="65">
        <f t="shared" si="233"/>
        <v>114</v>
      </c>
      <c r="BU145" s="33">
        <f t="shared" si="234"/>
        <v>6300</v>
      </c>
      <c r="BV145" s="65">
        <f t="shared" si="235"/>
        <v>718200</v>
      </c>
      <c r="BW145" s="33">
        <v>0</v>
      </c>
      <c r="BX145" s="33">
        <v>0</v>
      </c>
      <c r="BY145" s="33">
        <v>0</v>
      </c>
      <c r="BZ145" s="33">
        <v>0</v>
      </c>
      <c r="CA145" s="33">
        <v>0</v>
      </c>
      <c r="CB145" s="33">
        <v>0</v>
      </c>
      <c r="CC145" s="33">
        <v>0</v>
      </c>
      <c r="CD145" s="33">
        <v>0</v>
      </c>
      <c r="CE145" s="33">
        <v>0</v>
      </c>
      <c r="CF145" s="33">
        <v>0</v>
      </c>
      <c r="CG145" s="33">
        <v>0</v>
      </c>
      <c r="CH145" s="33">
        <v>0</v>
      </c>
      <c r="CI145" s="33">
        <v>114</v>
      </c>
      <c r="CJ145" s="33">
        <v>6300</v>
      </c>
      <c r="CK145" s="33">
        <v>718200</v>
      </c>
      <c r="CL145" s="33"/>
      <c r="CM145" s="33">
        <v>0</v>
      </c>
      <c r="CN145" s="33">
        <v>0</v>
      </c>
      <c r="CO145" s="33"/>
      <c r="CP145" s="33">
        <v>0</v>
      </c>
      <c r="CQ145" s="33">
        <v>0</v>
      </c>
      <c r="CR145" s="33"/>
      <c r="CS145" s="33">
        <v>0</v>
      </c>
      <c r="CT145" s="33">
        <v>0</v>
      </c>
      <c r="CU145" s="33"/>
      <c r="CV145" s="33">
        <v>0</v>
      </c>
      <c r="CW145" s="33">
        <v>0</v>
      </c>
      <c r="CX145" s="33"/>
      <c r="CY145" s="33">
        <v>0</v>
      </c>
      <c r="CZ145" s="33">
        <v>0</v>
      </c>
      <c r="DA145" s="33"/>
      <c r="DB145" s="33">
        <v>0</v>
      </c>
      <c r="DC145" s="33">
        <v>0</v>
      </c>
      <c r="DD145" s="33">
        <v>0</v>
      </c>
      <c r="DE145" s="33">
        <v>0</v>
      </c>
      <c r="DF145" s="66">
        <v>0</v>
      </c>
    </row>
    <row r="146" spans="1:110" ht="24.95" customHeight="1">
      <c r="A146" s="89">
        <v>122</v>
      </c>
      <c r="B146" s="74" t="s">
        <v>275</v>
      </c>
      <c r="C146" s="60"/>
      <c r="D146" s="75"/>
      <c r="E146" s="70"/>
      <c r="F146" s="60" t="s">
        <v>256</v>
      </c>
      <c r="G146" s="64">
        <v>0</v>
      </c>
      <c r="H146" s="76">
        <v>0</v>
      </c>
      <c r="I146" s="76">
        <v>0</v>
      </c>
      <c r="J146" s="33"/>
      <c r="K146" s="33">
        <v>0</v>
      </c>
      <c r="L146" s="33">
        <f t="shared" si="239"/>
        <v>0</v>
      </c>
      <c r="M146" s="34"/>
      <c r="N146" s="33">
        <f t="shared" si="242"/>
        <v>0</v>
      </c>
      <c r="O146" s="33">
        <f t="shared" si="228"/>
        <v>0</v>
      </c>
      <c r="P146" s="34">
        <f t="shared" si="236"/>
        <v>0</v>
      </c>
      <c r="Q146" s="34">
        <f t="shared" si="241"/>
        <v>0</v>
      </c>
      <c r="R146" s="33">
        <f t="shared" si="240"/>
        <v>0</v>
      </c>
      <c r="S146" s="36"/>
      <c r="T146" s="34">
        <v>114</v>
      </c>
      <c r="U146" s="34">
        <v>30240</v>
      </c>
      <c r="V146" s="34">
        <v>3447360</v>
      </c>
      <c r="W146" s="34">
        <v>114</v>
      </c>
      <c r="X146" s="34">
        <v>30240</v>
      </c>
      <c r="Y146" s="34">
        <v>3447360</v>
      </c>
      <c r="Z146" s="34"/>
      <c r="AA146" s="33">
        <v>0</v>
      </c>
      <c r="AB146" s="34">
        <f t="shared" si="229"/>
        <v>0</v>
      </c>
      <c r="AC146" s="33"/>
      <c r="AD146" s="33"/>
      <c r="AE146" s="33"/>
      <c r="AF146" s="65">
        <f t="shared" si="230"/>
        <v>114</v>
      </c>
      <c r="AG146" s="33">
        <f t="shared" si="231"/>
        <v>30240</v>
      </c>
      <c r="AH146" s="65">
        <f t="shared" si="232"/>
        <v>3447360</v>
      </c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>
        <v>114</v>
      </c>
      <c r="AV146" s="33">
        <v>30240</v>
      </c>
      <c r="AW146" s="33">
        <v>3447360</v>
      </c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>
        <v>0</v>
      </c>
      <c r="BJ146" s="33"/>
      <c r="BK146" s="33">
        <v>0</v>
      </c>
      <c r="BL146" s="33">
        <v>0</v>
      </c>
      <c r="BM146" s="33"/>
      <c r="BN146" s="33">
        <v>0</v>
      </c>
      <c r="BO146" s="33">
        <v>0</v>
      </c>
      <c r="BP146" s="33"/>
      <c r="BQ146" s="33"/>
      <c r="BR146" s="33"/>
      <c r="BT146" s="65">
        <f t="shared" si="233"/>
        <v>114</v>
      </c>
      <c r="BU146" s="33">
        <f t="shared" si="234"/>
        <v>30240</v>
      </c>
      <c r="BV146" s="65">
        <f t="shared" si="235"/>
        <v>3447360</v>
      </c>
      <c r="BW146" s="33">
        <v>0</v>
      </c>
      <c r="BX146" s="33">
        <v>0</v>
      </c>
      <c r="BY146" s="33">
        <v>0</v>
      </c>
      <c r="BZ146" s="33">
        <v>0</v>
      </c>
      <c r="CA146" s="33">
        <v>0</v>
      </c>
      <c r="CB146" s="33">
        <v>0</v>
      </c>
      <c r="CC146" s="33">
        <v>0</v>
      </c>
      <c r="CD146" s="33">
        <v>0</v>
      </c>
      <c r="CE146" s="33">
        <v>0</v>
      </c>
      <c r="CF146" s="33">
        <v>0</v>
      </c>
      <c r="CG146" s="33">
        <v>0</v>
      </c>
      <c r="CH146" s="33">
        <v>0</v>
      </c>
      <c r="CI146" s="33">
        <v>114</v>
      </c>
      <c r="CJ146" s="33">
        <v>30240</v>
      </c>
      <c r="CK146" s="33">
        <v>3447360</v>
      </c>
      <c r="CL146" s="33"/>
      <c r="CM146" s="33">
        <v>0</v>
      </c>
      <c r="CN146" s="33">
        <v>0</v>
      </c>
      <c r="CO146" s="33"/>
      <c r="CP146" s="33">
        <v>0</v>
      </c>
      <c r="CQ146" s="33">
        <v>0</v>
      </c>
      <c r="CR146" s="33"/>
      <c r="CS146" s="33">
        <v>0</v>
      </c>
      <c r="CT146" s="33">
        <v>0</v>
      </c>
      <c r="CU146" s="33"/>
      <c r="CV146" s="33">
        <v>0</v>
      </c>
      <c r="CW146" s="33">
        <v>0</v>
      </c>
      <c r="CX146" s="33"/>
      <c r="CY146" s="33">
        <v>0</v>
      </c>
      <c r="CZ146" s="33">
        <v>0</v>
      </c>
      <c r="DA146" s="33"/>
      <c r="DB146" s="33">
        <v>0</v>
      </c>
      <c r="DC146" s="33">
        <v>0</v>
      </c>
      <c r="DD146" s="33">
        <v>0</v>
      </c>
      <c r="DE146" s="33">
        <v>0</v>
      </c>
      <c r="DF146" s="66">
        <v>0</v>
      </c>
    </row>
    <row r="147" spans="1:110" ht="24.95" customHeight="1">
      <c r="A147" s="89">
        <v>123</v>
      </c>
      <c r="B147" s="74" t="s">
        <v>276</v>
      </c>
      <c r="C147" s="60"/>
      <c r="D147" s="75"/>
      <c r="E147" s="70"/>
      <c r="F147" s="60" t="s">
        <v>256</v>
      </c>
      <c r="G147" s="64">
        <v>0</v>
      </c>
      <c r="H147" s="76">
        <v>0</v>
      </c>
      <c r="I147" s="76">
        <v>0</v>
      </c>
      <c r="J147" s="33"/>
      <c r="K147" s="33">
        <v>0</v>
      </c>
      <c r="L147" s="33">
        <f t="shared" si="239"/>
        <v>0</v>
      </c>
      <c r="M147" s="34"/>
      <c r="N147" s="33">
        <f t="shared" si="242"/>
        <v>0</v>
      </c>
      <c r="O147" s="33">
        <f t="shared" si="228"/>
        <v>0</v>
      </c>
      <c r="P147" s="34">
        <f t="shared" si="236"/>
        <v>0</v>
      </c>
      <c r="Q147" s="34">
        <f t="shared" si="241"/>
        <v>0</v>
      </c>
      <c r="R147" s="33">
        <f t="shared" si="240"/>
        <v>0</v>
      </c>
      <c r="S147" s="36"/>
      <c r="T147" s="34">
        <v>0</v>
      </c>
      <c r="U147" s="34">
        <v>0</v>
      </c>
      <c r="V147" s="34">
        <v>0</v>
      </c>
      <c r="W147" s="34">
        <v>0</v>
      </c>
      <c r="X147" s="34">
        <v>0</v>
      </c>
      <c r="Y147" s="34">
        <v>0</v>
      </c>
      <c r="Z147" s="34"/>
      <c r="AA147" s="33">
        <v>0</v>
      </c>
      <c r="AB147" s="34">
        <f t="shared" si="229"/>
        <v>0</v>
      </c>
      <c r="AC147" s="33"/>
      <c r="AD147" s="33"/>
      <c r="AE147" s="33"/>
      <c r="AF147" s="65">
        <f t="shared" si="230"/>
        <v>0</v>
      </c>
      <c r="AG147" s="33">
        <f t="shared" si="231"/>
        <v>0</v>
      </c>
      <c r="AH147" s="65">
        <f t="shared" si="232"/>
        <v>0</v>
      </c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>
        <v>0</v>
      </c>
      <c r="AW147" s="33">
        <v>0</v>
      </c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>
        <v>0</v>
      </c>
      <c r="BJ147" s="33"/>
      <c r="BK147" s="33">
        <v>0</v>
      </c>
      <c r="BL147" s="33">
        <v>0</v>
      </c>
      <c r="BM147" s="33"/>
      <c r="BN147" s="33">
        <v>0</v>
      </c>
      <c r="BO147" s="33">
        <v>0</v>
      </c>
      <c r="BP147" s="33"/>
      <c r="BQ147" s="33"/>
      <c r="BR147" s="33"/>
      <c r="BT147" s="65">
        <f t="shared" si="233"/>
        <v>0</v>
      </c>
      <c r="BU147" s="33">
        <f t="shared" si="234"/>
        <v>0</v>
      </c>
      <c r="BV147" s="65">
        <f t="shared" si="235"/>
        <v>0</v>
      </c>
      <c r="BW147" s="33">
        <v>0</v>
      </c>
      <c r="BX147" s="33">
        <v>0</v>
      </c>
      <c r="BY147" s="33">
        <v>0</v>
      </c>
      <c r="BZ147" s="33">
        <v>0</v>
      </c>
      <c r="CA147" s="33">
        <v>0</v>
      </c>
      <c r="CB147" s="33">
        <v>0</v>
      </c>
      <c r="CC147" s="33">
        <v>0</v>
      </c>
      <c r="CD147" s="33">
        <v>0</v>
      </c>
      <c r="CE147" s="33">
        <v>0</v>
      </c>
      <c r="CF147" s="33">
        <v>0</v>
      </c>
      <c r="CG147" s="33">
        <v>0</v>
      </c>
      <c r="CH147" s="33">
        <v>0</v>
      </c>
      <c r="CI147" s="33">
        <v>0</v>
      </c>
      <c r="CJ147" s="33">
        <v>0</v>
      </c>
      <c r="CK147" s="33">
        <v>0</v>
      </c>
      <c r="CL147" s="33"/>
      <c r="CM147" s="33">
        <v>0</v>
      </c>
      <c r="CN147" s="33">
        <v>0</v>
      </c>
      <c r="CO147" s="33"/>
      <c r="CP147" s="33">
        <v>0</v>
      </c>
      <c r="CQ147" s="33">
        <v>0</v>
      </c>
      <c r="CR147" s="33"/>
      <c r="CS147" s="33">
        <v>0</v>
      </c>
      <c r="CT147" s="33">
        <v>0</v>
      </c>
      <c r="CU147" s="33"/>
      <c r="CV147" s="33">
        <v>0</v>
      </c>
      <c r="CW147" s="33">
        <v>0</v>
      </c>
      <c r="CX147" s="33"/>
      <c r="CY147" s="33">
        <v>0</v>
      </c>
      <c r="CZ147" s="33">
        <v>0</v>
      </c>
      <c r="DA147" s="33"/>
      <c r="DB147" s="33">
        <v>0</v>
      </c>
      <c r="DC147" s="33">
        <v>0</v>
      </c>
      <c r="DD147" s="33">
        <v>0</v>
      </c>
      <c r="DE147" s="33">
        <v>0</v>
      </c>
      <c r="DF147" s="66">
        <v>0</v>
      </c>
    </row>
    <row r="148" spans="1:110" ht="24.95" customHeight="1">
      <c r="A148" s="89">
        <v>124</v>
      </c>
      <c r="B148" s="74" t="s">
        <v>228</v>
      </c>
      <c r="C148" s="60"/>
      <c r="D148" s="75"/>
      <c r="E148" s="70" t="s">
        <v>293</v>
      </c>
      <c r="F148" s="60" t="s">
        <v>151</v>
      </c>
      <c r="G148" s="64">
        <v>0</v>
      </c>
      <c r="H148" s="76">
        <v>0</v>
      </c>
      <c r="I148" s="76">
        <v>0</v>
      </c>
      <c r="J148" s="33"/>
      <c r="K148" s="33">
        <v>0</v>
      </c>
      <c r="L148" s="33">
        <f t="shared" si="239"/>
        <v>0</v>
      </c>
      <c r="M148" s="34"/>
      <c r="N148" s="33">
        <f t="shared" si="242"/>
        <v>0</v>
      </c>
      <c r="O148" s="33">
        <f t="shared" si="228"/>
        <v>0</v>
      </c>
      <c r="P148" s="34">
        <f t="shared" si="236"/>
        <v>0</v>
      </c>
      <c r="Q148" s="34">
        <f t="shared" si="241"/>
        <v>0</v>
      </c>
      <c r="R148" s="33">
        <f t="shared" si="240"/>
        <v>0</v>
      </c>
      <c r="S148" s="36">
        <v>46873</v>
      </c>
      <c r="T148" s="34">
        <v>76</v>
      </c>
      <c r="U148" s="34">
        <v>6450.1500000000005</v>
      </c>
      <c r="V148" s="34">
        <v>490211.4</v>
      </c>
      <c r="W148" s="34">
        <v>76</v>
      </c>
      <c r="X148" s="34">
        <v>6450.1500000000005</v>
      </c>
      <c r="Y148" s="34">
        <v>490211.4</v>
      </c>
      <c r="Z148" s="34"/>
      <c r="AA148" s="33">
        <v>0</v>
      </c>
      <c r="AB148" s="34">
        <f t="shared" si="229"/>
        <v>0</v>
      </c>
      <c r="AC148" s="33"/>
      <c r="AD148" s="33"/>
      <c r="AE148" s="33"/>
      <c r="AF148" s="65">
        <f t="shared" si="230"/>
        <v>76</v>
      </c>
      <c r="AG148" s="33">
        <f t="shared" si="231"/>
        <v>6450.1500000000005</v>
      </c>
      <c r="AH148" s="65">
        <f t="shared" si="232"/>
        <v>490211.4</v>
      </c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>
        <v>76</v>
      </c>
      <c r="AV148" s="33">
        <v>6450.1500000000005</v>
      </c>
      <c r="AW148" s="33">
        <v>490211.4</v>
      </c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>
        <v>0</v>
      </c>
      <c r="BJ148" s="33"/>
      <c r="BK148" s="33">
        <v>0</v>
      </c>
      <c r="BL148" s="33">
        <v>0</v>
      </c>
      <c r="BM148" s="33"/>
      <c r="BN148" s="33">
        <v>0</v>
      </c>
      <c r="BO148" s="33">
        <v>0</v>
      </c>
      <c r="BP148" s="33"/>
      <c r="BQ148" s="33"/>
      <c r="BR148" s="33"/>
      <c r="BT148" s="65">
        <f t="shared" si="233"/>
        <v>76</v>
      </c>
      <c r="BU148" s="33">
        <f t="shared" si="234"/>
        <v>6450.1500000000005</v>
      </c>
      <c r="BV148" s="65">
        <f t="shared" si="235"/>
        <v>490211.4</v>
      </c>
      <c r="BW148" s="33">
        <v>0</v>
      </c>
      <c r="BX148" s="33">
        <v>0</v>
      </c>
      <c r="BY148" s="33">
        <v>0</v>
      </c>
      <c r="BZ148" s="33">
        <v>0</v>
      </c>
      <c r="CA148" s="33">
        <v>0</v>
      </c>
      <c r="CB148" s="33">
        <v>0</v>
      </c>
      <c r="CC148" s="33">
        <v>0</v>
      </c>
      <c r="CD148" s="33">
        <v>0</v>
      </c>
      <c r="CE148" s="33">
        <v>0</v>
      </c>
      <c r="CF148" s="33">
        <v>0</v>
      </c>
      <c r="CG148" s="33">
        <v>0</v>
      </c>
      <c r="CH148" s="33">
        <v>0</v>
      </c>
      <c r="CI148" s="33">
        <v>76</v>
      </c>
      <c r="CJ148" s="33">
        <v>6450.1500000000005</v>
      </c>
      <c r="CK148" s="33">
        <v>490211.4</v>
      </c>
      <c r="CL148" s="33"/>
      <c r="CM148" s="33">
        <v>0</v>
      </c>
      <c r="CN148" s="33">
        <v>0</v>
      </c>
      <c r="CO148" s="33"/>
      <c r="CP148" s="33">
        <v>0</v>
      </c>
      <c r="CQ148" s="33">
        <v>0</v>
      </c>
      <c r="CR148" s="33"/>
      <c r="CS148" s="33"/>
      <c r="CT148" s="33">
        <v>0</v>
      </c>
      <c r="CU148" s="33"/>
      <c r="CV148" s="33">
        <v>0</v>
      </c>
      <c r="CW148" s="33">
        <v>0</v>
      </c>
      <c r="CX148" s="33"/>
      <c r="CY148" s="33">
        <v>0</v>
      </c>
      <c r="CZ148" s="33">
        <v>0</v>
      </c>
      <c r="DA148" s="33"/>
      <c r="DB148" s="33">
        <v>0</v>
      </c>
      <c r="DC148" s="33">
        <v>0</v>
      </c>
      <c r="DD148" s="33"/>
      <c r="DE148" s="33"/>
      <c r="DF148" s="66"/>
    </row>
    <row r="149" spans="1:110" ht="24.95" customHeight="1">
      <c r="A149" s="89">
        <v>125</v>
      </c>
      <c r="B149" s="74" t="s">
        <v>277</v>
      </c>
      <c r="C149" s="60"/>
      <c r="D149" s="75"/>
      <c r="E149" s="70"/>
      <c r="F149" s="60" t="s">
        <v>290</v>
      </c>
      <c r="G149" s="64">
        <v>0</v>
      </c>
      <c r="H149" s="76">
        <v>0</v>
      </c>
      <c r="I149" s="76">
        <v>0</v>
      </c>
      <c r="J149" s="33"/>
      <c r="K149" s="33">
        <v>0</v>
      </c>
      <c r="L149" s="33">
        <f t="shared" si="239"/>
        <v>0</v>
      </c>
      <c r="M149" s="34"/>
      <c r="N149" s="33">
        <f t="shared" si="242"/>
        <v>0</v>
      </c>
      <c r="O149" s="33">
        <f t="shared" si="228"/>
        <v>0</v>
      </c>
      <c r="P149" s="34">
        <f t="shared" si="236"/>
        <v>0</v>
      </c>
      <c r="Q149" s="34">
        <f t="shared" si="241"/>
        <v>0</v>
      </c>
      <c r="R149" s="33">
        <f t="shared" si="240"/>
        <v>0</v>
      </c>
      <c r="S149" s="36"/>
      <c r="T149" s="34">
        <v>0</v>
      </c>
      <c r="U149" s="34">
        <v>0</v>
      </c>
      <c r="V149" s="34">
        <v>0</v>
      </c>
      <c r="W149" s="34">
        <v>0</v>
      </c>
      <c r="X149" s="34">
        <v>0</v>
      </c>
      <c r="Y149" s="34">
        <v>0</v>
      </c>
      <c r="Z149" s="34"/>
      <c r="AA149" s="33">
        <v>0</v>
      </c>
      <c r="AB149" s="34">
        <f t="shared" si="229"/>
        <v>0</v>
      </c>
      <c r="AC149" s="33"/>
      <c r="AD149" s="33"/>
      <c r="AE149" s="33"/>
      <c r="AF149" s="65">
        <f t="shared" si="230"/>
        <v>0</v>
      </c>
      <c r="AG149" s="33">
        <f t="shared" si="231"/>
        <v>0</v>
      </c>
      <c r="AH149" s="65">
        <f t="shared" si="232"/>
        <v>0</v>
      </c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>
        <v>0</v>
      </c>
      <c r="AW149" s="33">
        <v>0</v>
      </c>
      <c r="AX149" s="33"/>
      <c r="AY149" s="33"/>
      <c r="AZ149" s="33"/>
      <c r="BA149" s="33"/>
      <c r="BB149" s="33">
        <v>0</v>
      </c>
      <c r="BC149" s="33">
        <v>0</v>
      </c>
      <c r="BD149" s="33"/>
      <c r="BE149" s="33"/>
      <c r="BF149" s="33"/>
      <c r="BG149" s="33"/>
      <c r="BH149" s="33"/>
      <c r="BI149" s="33">
        <v>0</v>
      </c>
      <c r="BJ149" s="33"/>
      <c r="BK149" s="33">
        <v>0</v>
      </c>
      <c r="BL149" s="33">
        <v>0</v>
      </c>
      <c r="BM149" s="33"/>
      <c r="BN149" s="33">
        <v>0</v>
      </c>
      <c r="BO149" s="33">
        <v>0</v>
      </c>
      <c r="BP149" s="33"/>
      <c r="BQ149" s="33"/>
      <c r="BR149" s="33"/>
      <c r="BT149" s="65">
        <f t="shared" si="233"/>
        <v>0</v>
      </c>
      <c r="BU149" s="33">
        <f t="shared" si="234"/>
        <v>0</v>
      </c>
      <c r="BV149" s="65">
        <f t="shared" si="235"/>
        <v>0</v>
      </c>
      <c r="BW149" s="33">
        <v>0</v>
      </c>
      <c r="BX149" s="33">
        <v>0</v>
      </c>
      <c r="BY149" s="33">
        <v>0</v>
      </c>
      <c r="BZ149" s="33">
        <v>0</v>
      </c>
      <c r="CA149" s="33">
        <v>0</v>
      </c>
      <c r="CB149" s="33">
        <v>0</v>
      </c>
      <c r="CC149" s="33">
        <v>0</v>
      </c>
      <c r="CD149" s="33">
        <v>0</v>
      </c>
      <c r="CE149" s="33">
        <v>0</v>
      </c>
      <c r="CF149" s="33">
        <v>0</v>
      </c>
      <c r="CG149" s="33">
        <v>0</v>
      </c>
      <c r="CH149" s="33">
        <v>0</v>
      </c>
      <c r="CI149" s="33"/>
      <c r="CJ149" s="33">
        <v>0</v>
      </c>
      <c r="CK149" s="33">
        <v>0</v>
      </c>
      <c r="CL149" s="33"/>
      <c r="CM149" s="33">
        <v>0</v>
      </c>
      <c r="CN149" s="33">
        <v>0</v>
      </c>
      <c r="CO149" s="33"/>
      <c r="CP149" s="33">
        <v>0</v>
      </c>
      <c r="CQ149" s="33">
        <v>0</v>
      </c>
      <c r="CR149" s="33">
        <v>0</v>
      </c>
      <c r="CS149" s="33">
        <v>0</v>
      </c>
      <c r="CT149" s="33">
        <v>0</v>
      </c>
      <c r="CU149" s="33"/>
      <c r="CV149" s="33">
        <v>0</v>
      </c>
      <c r="CW149" s="33">
        <v>0</v>
      </c>
      <c r="CX149" s="33"/>
      <c r="CY149" s="33">
        <v>0</v>
      </c>
      <c r="CZ149" s="33">
        <v>0</v>
      </c>
      <c r="DA149" s="33"/>
      <c r="DB149" s="33">
        <v>0</v>
      </c>
      <c r="DC149" s="33">
        <v>0</v>
      </c>
      <c r="DD149" s="33">
        <v>0</v>
      </c>
      <c r="DE149" s="33">
        <v>0</v>
      </c>
      <c r="DF149" s="66">
        <v>0</v>
      </c>
    </row>
    <row r="150" spans="1:110" ht="24.95" customHeight="1">
      <c r="A150" s="89">
        <v>126</v>
      </c>
      <c r="B150" s="74" t="s">
        <v>278</v>
      </c>
      <c r="C150" s="60"/>
      <c r="D150" s="75"/>
      <c r="E150" s="70"/>
      <c r="F150" s="60" t="s">
        <v>256</v>
      </c>
      <c r="G150" s="64">
        <v>0</v>
      </c>
      <c r="H150" s="76">
        <v>0</v>
      </c>
      <c r="I150" s="76">
        <v>0</v>
      </c>
      <c r="J150" s="33"/>
      <c r="K150" s="33">
        <v>0</v>
      </c>
      <c r="L150" s="33">
        <f t="shared" si="239"/>
        <v>0</v>
      </c>
      <c r="M150" s="34"/>
      <c r="N150" s="33">
        <f t="shared" si="242"/>
        <v>0</v>
      </c>
      <c r="O150" s="33">
        <f t="shared" si="228"/>
        <v>0</v>
      </c>
      <c r="P150" s="34">
        <f t="shared" si="236"/>
        <v>0</v>
      </c>
      <c r="Q150" s="34">
        <f t="shared" si="241"/>
        <v>0</v>
      </c>
      <c r="R150" s="33">
        <f t="shared" si="240"/>
        <v>0</v>
      </c>
      <c r="S150" s="36"/>
      <c r="T150" s="34">
        <v>0</v>
      </c>
      <c r="U150" s="34">
        <v>0</v>
      </c>
      <c r="V150" s="34">
        <v>0</v>
      </c>
      <c r="W150" s="34">
        <v>0</v>
      </c>
      <c r="X150" s="34">
        <v>0</v>
      </c>
      <c r="Y150" s="34">
        <v>0</v>
      </c>
      <c r="Z150" s="34"/>
      <c r="AA150" s="33">
        <v>0</v>
      </c>
      <c r="AB150" s="34">
        <f t="shared" si="229"/>
        <v>0</v>
      </c>
      <c r="AC150" s="33"/>
      <c r="AD150" s="33"/>
      <c r="AE150" s="33"/>
      <c r="AF150" s="65">
        <f t="shared" si="230"/>
        <v>0</v>
      </c>
      <c r="AG150" s="33">
        <f t="shared" si="231"/>
        <v>0</v>
      </c>
      <c r="AH150" s="65">
        <f t="shared" si="232"/>
        <v>0</v>
      </c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>
        <v>0</v>
      </c>
      <c r="AW150" s="33">
        <v>0</v>
      </c>
      <c r="AX150" s="33"/>
      <c r="AY150" s="33"/>
      <c r="AZ150" s="33"/>
      <c r="BA150" s="33"/>
      <c r="BB150" s="33">
        <v>0</v>
      </c>
      <c r="BC150" s="33">
        <v>0</v>
      </c>
      <c r="BD150" s="33"/>
      <c r="BE150" s="33"/>
      <c r="BF150" s="33"/>
      <c r="BG150" s="33"/>
      <c r="BH150" s="33"/>
      <c r="BI150" s="33">
        <v>0</v>
      </c>
      <c r="BJ150" s="33"/>
      <c r="BK150" s="33">
        <v>0</v>
      </c>
      <c r="BL150" s="33">
        <v>0</v>
      </c>
      <c r="BM150" s="33"/>
      <c r="BN150" s="33">
        <v>0</v>
      </c>
      <c r="BO150" s="33">
        <v>0</v>
      </c>
      <c r="BP150" s="33"/>
      <c r="BQ150" s="33"/>
      <c r="BR150" s="33"/>
      <c r="BT150" s="65">
        <f t="shared" si="233"/>
        <v>0</v>
      </c>
      <c r="BU150" s="33">
        <f t="shared" si="234"/>
        <v>0</v>
      </c>
      <c r="BV150" s="65">
        <f t="shared" si="235"/>
        <v>0</v>
      </c>
      <c r="BW150" s="33">
        <v>0</v>
      </c>
      <c r="BX150" s="33">
        <v>0</v>
      </c>
      <c r="BY150" s="33">
        <v>0</v>
      </c>
      <c r="BZ150" s="33">
        <v>0</v>
      </c>
      <c r="CA150" s="33">
        <v>0</v>
      </c>
      <c r="CB150" s="33">
        <v>0</v>
      </c>
      <c r="CC150" s="33">
        <v>0</v>
      </c>
      <c r="CD150" s="33">
        <v>0</v>
      </c>
      <c r="CE150" s="33">
        <v>0</v>
      </c>
      <c r="CF150" s="33">
        <v>0</v>
      </c>
      <c r="CG150" s="33">
        <v>0</v>
      </c>
      <c r="CH150" s="33">
        <v>0</v>
      </c>
      <c r="CI150" s="33">
        <v>0</v>
      </c>
      <c r="CJ150" s="33">
        <v>0</v>
      </c>
      <c r="CK150" s="33">
        <v>0</v>
      </c>
      <c r="CL150" s="33">
        <v>0</v>
      </c>
      <c r="CM150" s="33">
        <v>0</v>
      </c>
      <c r="CN150" s="33">
        <v>0</v>
      </c>
      <c r="CO150" s="33">
        <v>0</v>
      </c>
      <c r="CP150" s="33">
        <v>0</v>
      </c>
      <c r="CQ150" s="33">
        <v>0</v>
      </c>
      <c r="CR150" s="33">
        <v>0</v>
      </c>
      <c r="CS150" s="33">
        <v>0</v>
      </c>
      <c r="CT150" s="33">
        <v>0</v>
      </c>
      <c r="CU150" s="33"/>
      <c r="CV150" s="33">
        <v>0</v>
      </c>
      <c r="CW150" s="33">
        <v>0</v>
      </c>
      <c r="CX150" s="33"/>
      <c r="CY150" s="33">
        <v>0</v>
      </c>
      <c r="CZ150" s="33">
        <v>0</v>
      </c>
      <c r="DA150" s="33"/>
      <c r="DB150" s="33">
        <v>0</v>
      </c>
      <c r="DC150" s="33">
        <v>0</v>
      </c>
      <c r="DD150" s="33">
        <v>0</v>
      </c>
      <c r="DE150" s="33">
        <v>0</v>
      </c>
      <c r="DF150" s="66">
        <v>0</v>
      </c>
    </row>
    <row r="151" spans="1:110" ht="24.95" customHeight="1">
      <c r="A151" s="89">
        <v>127</v>
      </c>
      <c r="B151" s="74" t="s">
        <v>279</v>
      </c>
      <c r="C151" s="60"/>
      <c r="D151" s="75"/>
      <c r="E151" s="70"/>
      <c r="F151" s="60" t="s">
        <v>256</v>
      </c>
      <c r="G151" s="64">
        <v>0</v>
      </c>
      <c r="H151" s="76">
        <v>0</v>
      </c>
      <c r="I151" s="76">
        <v>0</v>
      </c>
      <c r="J151" s="33"/>
      <c r="K151" s="33">
        <v>0</v>
      </c>
      <c r="L151" s="33">
        <f t="shared" si="239"/>
        <v>0</v>
      </c>
      <c r="M151" s="34"/>
      <c r="N151" s="33">
        <f t="shared" si="242"/>
        <v>0</v>
      </c>
      <c r="O151" s="33">
        <f t="shared" si="228"/>
        <v>0</v>
      </c>
      <c r="P151" s="34">
        <f t="shared" si="236"/>
        <v>0</v>
      </c>
      <c r="Q151" s="34">
        <f t="shared" si="241"/>
        <v>0</v>
      </c>
      <c r="R151" s="33">
        <f t="shared" si="240"/>
        <v>0</v>
      </c>
      <c r="S151" s="36"/>
      <c r="T151" s="34">
        <v>0</v>
      </c>
      <c r="U151" s="34">
        <v>0</v>
      </c>
      <c r="V151" s="34">
        <v>0</v>
      </c>
      <c r="W151" s="34">
        <v>0</v>
      </c>
      <c r="X151" s="34">
        <v>0</v>
      </c>
      <c r="Y151" s="34">
        <v>0</v>
      </c>
      <c r="Z151" s="34"/>
      <c r="AA151" s="33">
        <v>0</v>
      </c>
      <c r="AB151" s="34">
        <f t="shared" si="229"/>
        <v>0</v>
      </c>
      <c r="AC151" s="33"/>
      <c r="AD151" s="33"/>
      <c r="AE151" s="33"/>
      <c r="AF151" s="65">
        <f t="shared" si="230"/>
        <v>0</v>
      </c>
      <c r="AG151" s="33">
        <f t="shared" si="231"/>
        <v>0</v>
      </c>
      <c r="AH151" s="65">
        <f t="shared" si="232"/>
        <v>0</v>
      </c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>
        <v>0</v>
      </c>
      <c r="AW151" s="33">
        <v>0</v>
      </c>
      <c r="AX151" s="33"/>
      <c r="AY151" s="33"/>
      <c r="AZ151" s="33"/>
      <c r="BA151" s="33"/>
      <c r="BB151" s="33">
        <v>0</v>
      </c>
      <c r="BC151" s="33">
        <v>0</v>
      </c>
      <c r="BD151" s="33"/>
      <c r="BE151" s="33"/>
      <c r="BF151" s="33"/>
      <c r="BG151" s="33"/>
      <c r="BH151" s="33"/>
      <c r="BI151" s="33">
        <v>0</v>
      </c>
      <c r="BJ151" s="33"/>
      <c r="BK151" s="33">
        <v>0</v>
      </c>
      <c r="BL151" s="33">
        <v>0</v>
      </c>
      <c r="BM151" s="33"/>
      <c r="BN151" s="33">
        <v>0</v>
      </c>
      <c r="BO151" s="33">
        <v>0</v>
      </c>
      <c r="BP151" s="33"/>
      <c r="BQ151" s="33"/>
      <c r="BR151" s="33"/>
      <c r="BT151" s="65">
        <f t="shared" si="233"/>
        <v>0</v>
      </c>
      <c r="BU151" s="33">
        <f t="shared" si="234"/>
        <v>0</v>
      </c>
      <c r="BV151" s="65">
        <f t="shared" si="235"/>
        <v>0</v>
      </c>
      <c r="BW151" s="33">
        <v>0</v>
      </c>
      <c r="BX151" s="33">
        <v>0</v>
      </c>
      <c r="BY151" s="33">
        <v>0</v>
      </c>
      <c r="BZ151" s="33">
        <v>0</v>
      </c>
      <c r="CA151" s="33">
        <v>0</v>
      </c>
      <c r="CB151" s="33">
        <v>0</v>
      </c>
      <c r="CC151" s="33">
        <v>0</v>
      </c>
      <c r="CD151" s="33">
        <v>0</v>
      </c>
      <c r="CE151" s="33">
        <v>0</v>
      </c>
      <c r="CF151" s="33">
        <v>0</v>
      </c>
      <c r="CG151" s="33">
        <v>0</v>
      </c>
      <c r="CH151" s="33">
        <v>0</v>
      </c>
      <c r="CI151" s="33">
        <v>0</v>
      </c>
      <c r="CJ151" s="33">
        <v>0</v>
      </c>
      <c r="CK151" s="33">
        <v>0</v>
      </c>
      <c r="CL151" s="33">
        <v>0</v>
      </c>
      <c r="CM151" s="33">
        <v>0</v>
      </c>
      <c r="CN151" s="33">
        <v>0</v>
      </c>
      <c r="CO151" s="33">
        <v>0</v>
      </c>
      <c r="CP151" s="33">
        <v>0</v>
      </c>
      <c r="CQ151" s="33">
        <v>0</v>
      </c>
      <c r="CR151" s="33">
        <v>0</v>
      </c>
      <c r="CS151" s="33">
        <v>0</v>
      </c>
      <c r="CT151" s="33">
        <v>0</v>
      </c>
      <c r="CU151" s="33"/>
      <c r="CV151" s="33">
        <v>0</v>
      </c>
      <c r="CW151" s="33">
        <v>0</v>
      </c>
      <c r="CX151" s="33"/>
      <c r="CY151" s="33">
        <v>0</v>
      </c>
      <c r="CZ151" s="33">
        <v>0</v>
      </c>
      <c r="DA151" s="33"/>
      <c r="DB151" s="33">
        <v>0</v>
      </c>
      <c r="DC151" s="33">
        <v>0</v>
      </c>
      <c r="DD151" s="33">
        <v>0</v>
      </c>
      <c r="DE151" s="33">
        <v>0</v>
      </c>
      <c r="DF151" s="66">
        <v>0</v>
      </c>
    </row>
    <row r="152" spans="1:110" ht="24.95" customHeight="1">
      <c r="A152" s="89">
        <v>128</v>
      </c>
      <c r="B152" s="74" t="s">
        <v>280</v>
      </c>
      <c r="C152" s="60"/>
      <c r="D152" s="75"/>
      <c r="E152" s="70"/>
      <c r="F152" s="60" t="s">
        <v>256</v>
      </c>
      <c r="G152" s="64">
        <v>0</v>
      </c>
      <c r="H152" s="76">
        <v>0</v>
      </c>
      <c r="I152" s="76">
        <v>0</v>
      </c>
      <c r="J152" s="33"/>
      <c r="K152" s="33">
        <v>0</v>
      </c>
      <c r="L152" s="33">
        <f t="shared" si="239"/>
        <v>0</v>
      </c>
      <c r="M152" s="34"/>
      <c r="N152" s="33">
        <f t="shared" si="242"/>
        <v>0</v>
      </c>
      <c r="O152" s="33">
        <f t="shared" si="228"/>
        <v>0</v>
      </c>
      <c r="P152" s="34">
        <f t="shared" si="236"/>
        <v>0</v>
      </c>
      <c r="Q152" s="34">
        <f t="shared" si="241"/>
        <v>0</v>
      </c>
      <c r="R152" s="33">
        <f t="shared" si="240"/>
        <v>0</v>
      </c>
      <c r="S152" s="36"/>
      <c r="T152" s="34">
        <v>0</v>
      </c>
      <c r="U152" s="34">
        <v>0</v>
      </c>
      <c r="V152" s="34">
        <v>0</v>
      </c>
      <c r="W152" s="34">
        <v>0</v>
      </c>
      <c r="X152" s="34">
        <v>0</v>
      </c>
      <c r="Y152" s="34">
        <v>0</v>
      </c>
      <c r="Z152" s="34"/>
      <c r="AA152" s="33">
        <v>0</v>
      </c>
      <c r="AB152" s="34">
        <f t="shared" si="229"/>
        <v>0</v>
      </c>
      <c r="AC152" s="33"/>
      <c r="AD152" s="33"/>
      <c r="AE152" s="33"/>
      <c r="AF152" s="65">
        <f t="shared" si="230"/>
        <v>0</v>
      </c>
      <c r="AG152" s="33">
        <f t="shared" si="231"/>
        <v>0</v>
      </c>
      <c r="AH152" s="65">
        <f t="shared" si="232"/>
        <v>0</v>
      </c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>
        <v>0</v>
      </c>
      <c r="AW152" s="33">
        <v>0</v>
      </c>
      <c r="AX152" s="33"/>
      <c r="AY152" s="33"/>
      <c r="AZ152" s="33"/>
      <c r="BA152" s="33"/>
      <c r="BB152" s="33">
        <v>0</v>
      </c>
      <c r="BC152" s="33">
        <v>0</v>
      </c>
      <c r="BD152" s="33"/>
      <c r="BE152" s="33"/>
      <c r="BF152" s="33"/>
      <c r="BG152" s="33"/>
      <c r="BH152" s="33"/>
      <c r="BI152" s="33">
        <v>0</v>
      </c>
      <c r="BJ152" s="33"/>
      <c r="BK152" s="33">
        <v>0</v>
      </c>
      <c r="BL152" s="33">
        <v>0</v>
      </c>
      <c r="BM152" s="33"/>
      <c r="BN152" s="33">
        <v>0</v>
      </c>
      <c r="BO152" s="33">
        <v>0</v>
      </c>
      <c r="BP152" s="33"/>
      <c r="BQ152" s="33"/>
      <c r="BR152" s="33"/>
      <c r="BT152" s="65">
        <f t="shared" si="233"/>
        <v>0</v>
      </c>
      <c r="BU152" s="33">
        <f t="shared" si="234"/>
        <v>0</v>
      </c>
      <c r="BV152" s="65">
        <f t="shared" si="235"/>
        <v>0</v>
      </c>
      <c r="BW152" s="33">
        <v>0</v>
      </c>
      <c r="BX152" s="33">
        <v>0</v>
      </c>
      <c r="BY152" s="33">
        <v>0</v>
      </c>
      <c r="BZ152" s="33">
        <v>0</v>
      </c>
      <c r="CA152" s="33">
        <v>0</v>
      </c>
      <c r="CB152" s="33">
        <v>0</v>
      </c>
      <c r="CC152" s="33">
        <v>0</v>
      </c>
      <c r="CD152" s="33">
        <v>0</v>
      </c>
      <c r="CE152" s="33">
        <v>0</v>
      </c>
      <c r="CF152" s="33">
        <v>0</v>
      </c>
      <c r="CG152" s="33">
        <v>0</v>
      </c>
      <c r="CH152" s="33">
        <v>0</v>
      </c>
      <c r="CI152" s="33">
        <v>0</v>
      </c>
      <c r="CJ152" s="33">
        <v>0</v>
      </c>
      <c r="CK152" s="33">
        <v>0</v>
      </c>
      <c r="CL152" s="33">
        <v>0</v>
      </c>
      <c r="CM152" s="33">
        <v>0</v>
      </c>
      <c r="CN152" s="33">
        <v>0</v>
      </c>
      <c r="CO152" s="33">
        <v>0</v>
      </c>
      <c r="CP152" s="33">
        <v>0</v>
      </c>
      <c r="CQ152" s="33">
        <v>0</v>
      </c>
      <c r="CR152" s="33">
        <v>0</v>
      </c>
      <c r="CS152" s="33">
        <v>0</v>
      </c>
      <c r="CT152" s="33">
        <v>0</v>
      </c>
      <c r="CU152" s="33"/>
      <c r="CV152" s="33">
        <v>0</v>
      </c>
      <c r="CW152" s="33">
        <v>0</v>
      </c>
      <c r="CX152" s="33"/>
      <c r="CY152" s="33">
        <v>0</v>
      </c>
      <c r="CZ152" s="33">
        <v>0</v>
      </c>
      <c r="DA152" s="33"/>
      <c r="DB152" s="33">
        <v>0</v>
      </c>
      <c r="DC152" s="33">
        <v>0</v>
      </c>
      <c r="DD152" s="33">
        <v>0</v>
      </c>
      <c r="DE152" s="33">
        <v>0</v>
      </c>
      <c r="DF152" s="66">
        <v>0</v>
      </c>
    </row>
    <row r="153" spans="1:110" ht="24.95" customHeight="1">
      <c r="A153" s="89">
        <v>129</v>
      </c>
      <c r="B153" s="74" t="s">
        <v>281</v>
      </c>
      <c r="C153" s="60"/>
      <c r="D153" s="75"/>
      <c r="E153" s="70"/>
      <c r="F153" s="60" t="s">
        <v>256</v>
      </c>
      <c r="G153" s="64">
        <v>0</v>
      </c>
      <c r="H153" s="76">
        <v>0</v>
      </c>
      <c r="I153" s="76">
        <v>0</v>
      </c>
      <c r="J153" s="33"/>
      <c r="K153" s="33">
        <v>0</v>
      </c>
      <c r="L153" s="33">
        <f t="shared" si="239"/>
        <v>0</v>
      </c>
      <c r="M153" s="34"/>
      <c r="N153" s="33">
        <f t="shared" si="242"/>
        <v>0</v>
      </c>
      <c r="O153" s="33">
        <f t="shared" si="228"/>
        <v>0</v>
      </c>
      <c r="P153" s="34">
        <f t="shared" si="236"/>
        <v>0</v>
      </c>
      <c r="Q153" s="34">
        <f t="shared" si="241"/>
        <v>0</v>
      </c>
      <c r="R153" s="33">
        <f t="shared" si="240"/>
        <v>0</v>
      </c>
      <c r="S153" s="36"/>
      <c r="T153" s="34">
        <v>0</v>
      </c>
      <c r="U153" s="34">
        <v>0</v>
      </c>
      <c r="V153" s="34">
        <v>0</v>
      </c>
      <c r="W153" s="34">
        <v>0</v>
      </c>
      <c r="X153" s="34">
        <v>0</v>
      </c>
      <c r="Y153" s="34">
        <v>0</v>
      </c>
      <c r="Z153" s="34"/>
      <c r="AA153" s="33">
        <v>0</v>
      </c>
      <c r="AB153" s="34">
        <f t="shared" si="229"/>
        <v>0</v>
      </c>
      <c r="AC153" s="33"/>
      <c r="AD153" s="33"/>
      <c r="AE153" s="33"/>
      <c r="AF153" s="65">
        <f t="shared" si="230"/>
        <v>0</v>
      </c>
      <c r="AG153" s="33">
        <f t="shared" si="231"/>
        <v>0</v>
      </c>
      <c r="AH153" s="65">
        <f t="shared" si="232"/>
        <v>0</v>
      </c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>
        <v>0</v>
      </c>
      <c r="AW153" s="33">
        <v>0</v>
      </c>
      <c r="AX153" s="33"/>
      <c r="AY153" s="33"/>
      <c r="AZ153" s="33"/>
      <c r="BA153" s="33"/>
      <c r="BB153" s="33">
        <v>0</v>
      </c>
      <c r="BC153" s="33">
        <v>0</v>
      </c>
      <c r="BD153" s="33"/>
      <c r="BE153" s="33"/>
      <c r="BF153" s="33"/>
      <c r="BG153" s="33"/>
      <c r="BH153" s="33"/>
      <c r="BI153" s="33">
        <v>0</v>
      </c>
      <c r="BJ153" s="33"/>
      <c r="BK153" s="33">
        <v>0</v>
      </c>
      <c r="BL153" s="33">
        <v>0</v>
      </c>
      <c r="BM153" s="33"/>
      <c r="BN153" s="33">
        <v>0</v>
      </c>
      <c r="BO153" s="33">
        <v>0</v>
      </c>
      <c r="BP153" s="33"/>
      <c r="BQ153" s="33"/>
      <c r="BR153" s="33"/>
      <c r="BT153" s="65">
        <f t="shared" si="233"/>
        <v>0</v>
      </c>
      <c r="BU153" s="33">
        <f t="shared" si="234"/>
        <v>0</v>
      </c>
      <c r="BV153" s="65">
        <f t="shared" si="235"/>
        <v>0</v>
      </c>
      <c r="BW153" s="33">
        <v>0</v>
      </c>
      <c r="BX153" s="33">
        <v>0</v>
      </c>
      <c r="BY153" s="33">
        <v>0</v>
      </c>
      <c r="BZ153" s="33">
        <v>0</v>
      </c>
      <c r="CA153" s="33">
        <v>0</v>
      </c>
      <c r="CB153" s="33">
        <v>0</v>
      </c>
      <c r="CC153" s="33">
        <v>0</v>
      </c>
      <c r="CD153" s="33">
        <v>0</v>
      </c>
      <c r="CE153" s="33">
        <v>0</v>
      </c>
      <c r="CF153" s="33">
        <v>0</v>
      </c>
      <c r="CG153" s="33">
        <v>0</v>
      </c>
      <c r="CH153" s="33">
        <v>0</v>
      </c>
      <c r="CI153" s="33">
        <v>0</v>
      </c>
      <c r="CJ153" s="33">
        <v>0</v>
      </c>
      <c r="CK153" s="33">
        <v>0</v>
      </c>
      <c r="CL153" s="33">
        <v>0</v>
      </c>
      <c r="CM153" s="33">
        <v>0</v>
      </c>
      <c r="CN153" s="33">
        <v>0</v>
      </c>
      <c r="CO153" s="33">
        <v>0</v>
      </c>
      <c r="CP153" s="33">
        <v>0</v>
      </c>
      <c r="CQ153" s="33">
        <v>0</v>
      </c>
      <c r="CR153" s="33">
        <v>0</v>
      </c>
      <c r="CS153" s="33">
        <v>0</v>
      </c>
      <c r="CT153" s="33">
        <v>0</v>
      </c>
      <c r="CU153" s="33"/>
      <c r="CV153" s="33">
        <v>0</v>
      </c>
      <c r="CW153" s="33">
        <v>0</v>
      </c>
      <c r="CX153" s="33"/>
      <c r="CY153" s="33">
        <v>0</v>
      </c>
      <c r="CZ153" s="33">
        <v>0</v>
      </c>
      <c r="DA153" s="33"/>
      <c r="DB153" s="33">
        <v>0</v>
      </c>
      <c r="DC153" s="33">
        <v>0</v>
      </c>
      <c r="DD153" s="33">
        <v>0</v>
      </c>
      <c r="DE153" s="33">
        <v>0</v>
      </c>
      <c r="DF153" s="66">
        <v>0</v>
      </c>
    </row>
    <row r="154" spans="1:110" ht="24.95" customHeight="1">
      <c r="A154" s="89">
        <v>130</v>
      </c>
      <c r="B154" s="74" t="s">
        <v>282</v>
      </c>
      <c r="C154" s="60"/>
      <c r="D154" s="75"/>
      <c r="E154" s="70"/>
      <c r="F154" s="60" t="s">
        <v>256</v>
      </c>
      <c r="G154" s="64">
        <v>0</v>
      </c>
      <c r="H154" s="76">
        <v>0</v>
      </c>
      <c r="I154" s="76">
        <v>0</v>
      </c>
      <c r="J154" s="33"/>
      <c r="K154" s="33">
        <v>0</v>
      </c>
      <c r="L154" s="33">
        <f t="shared" si="239"/>
        <v>0</v>
      </c>
      <c r="M154" s="34"/>
      <c r="N154" s="33">
        <f t="shared" si="242"/>
        <v>0</v>
      </c>
      <c r="O154" s="33">
        <f t="shared" si="228"/>
        <v>0</v>
      </c>
      <c r="P154" s="34">
        <f t="shared" si="236"/>
        <v>0</v>
      </c>
      <c r="Q154" s="34">
        <f t="shared" si="241"/>
        <v>0</v>
      </c>
      <c r="R154" s="33">
        <f t="shared" si="240"/>
        <v>0</v>
      </c>
      <c r="S154" s="36"/>
      <c r="T154" s="34">
        <v>0</v>
      </c>
      <c r="U154" s="34">
        <v>0</v>
      </c>
      <c r="V154" s="34">
        <v>0</v>
      </c>
      <c r="W154" s="34">
        <v>0</v>
      </c>
      <c r="X154" s="34">
        <v>0</v>
      </c>
      <c r="Y154" s="34">
        <v>0</v>
      </c>
      <c r="Z154" s="34"/>
      <c r="AA154" s="33">
        <v>0</v>
      </c>
      <c r="AB154" s="34">
        <f t="shared" si="229"/>
        <v>0</v>
      </c>
      <c r="AC154" s="33"/>
      <c r="AD154" s="33"/>
      <c r="AE154" s="33"/>
      <c r="AF154" s="65">
        <f t="shared" si="230"/>
        <v>0</v>
      </c>
      <c r="AG154" s="33">
        <f t="shared" si="231"/>
        <v>0</v>
      </c>
      <c r="AH154" s="65">
        <f t="shared" si="232"/>
        <v>0</v>
      </c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>
        <v>0</v>
      </c>
      <c r="AW154" s="33">
        <v>0</v>
      </c>
      <c r="AX154" s="33"/>
      <c r="AY154" s="33"/>
      <c r="AZ154" s="33"/>
      <c r="BA154" s="33"/>
      <c r="BB154" s="33">
        <v>0</v>
      </c>
      <c r="BC154" s="33">
        <v>0</v>
      </c>
      <c r="BD154" s="33"/>
      <c r="BE154" s="33"/>
      <c r="BF154" s="33"/>
      <c r="BG154" s="33"/>
      <c r="BH154" s="33"/>
      <c r="BI154" s="33">
        <v>0</v>
      </c>
      <c r="BJ154" s="33"/>
      <c r="BK154" s="33">
        <v>0</v>
      </c>
      <c r="BL154" s="33">
        <v>0</v>
      </c>
      <c r="BM154" s="33"/>
      <c r="BN154" s="33">
        <v>0</v>
      </c>
      <c r="BO154" s="33">
        <v>0</v>
      </c>
      <c r="BP154" s="33"/>
      <c r="BQ154" s="33"/>
      <c r="BR154" s="33"/>
      <c r="BT154" s="65">
        <f t="shared" si="233"/>
        <v>0</v>
      </c>
      <c r="BU154" s="33">
        <f t="shared" si="234"/>
        <v>0</v>
      </c>
      <c r="BV154" s="65">
        <f t="shared" si="235"/>
        <v>0</v>
      </c>
      <c r="BW154" s="33">
        <v>0</v>
      </c>
      <c r="BX154" s="33">
        <v>0</v>
      </c>
      <c r="BY154" s="33">
        <v>0</v>
      </c>
      <c r="BZ154" s="33">
        <v>0</v>
      </c>
      <c r="CA154" s="33">
        <v>0</v>
      </c>
      <c r="CB154" s="33">
        <v>0</v>
      </c>
      <c r="CC154" s="33">
        <v>0</v>
      </c>
      <c r="CD154" s="33">
        <v>0</v>
      </c>
      <c r="CE154" s="33">
        <v>0</v>
      </c>
      <c r="CF154" s="33">
        <v>0</v>
      </c>
      <c r="CG154" s="33">
        <v>0</v>
      </c>
      <c r="CH154" s="33">
        <v>0</v>
      </c>
      <c r="CI154" s="33">
        <v>0</v>
      </c>
      <c r="CJ154" s="33">
        <v>0</v>
      </c>
      <c r="CK154" s="33">
        <v>0</v>
      </c>
      <c r="CL154" s="33">
        <v>0</v>
      </c>
      <c r="CM154" s="33">
        <v>0</v>
      </c>
      <c r="CN154" s="33">
        <v>0</v>
      </c>
      <c r="CO154" s="33">
        <v>0</v>
      </c>
      <c r="CP154" s="33">
        <v>0</v>
      </c>
      <c r="CQ154" s="33">
        <v>0</v>
      </c>
      <c r="CR154" s="33">
        <v>0</v>
      </c>
      <c r="CS154" s="33">
        <v>0</v>
      </c>
      <c r="CT154" s="33">
        <v>0</v>
      </c>
      <c r="CU154" s="33"/>
      <c r="CV154" s="33">
        <v>0</v>
      </c>
      <c r="CW154" s="33">
        <v>0</v>
      </c>
      <c r="CX154" s="33"/>
      <c r="CY154" s="33">
        <v>0</v>
      </c>
      <c r="CZ154" s="33">
        <v>0</v>
      </c>
      <c r="DA154" s="33"/>
      <c r="DB154" s="33">
        <v>0</v>
      </c>
      <c r="DC154" s="33">
        <v>0</v>
      </c>
      <c r="DD154" s="33">
        <v>0</v>
      </c>
      <c r="DE154" s="33">
        <v>0</v>
      </c>
      <c r="DF154" s="66">
        <v>0</v>
      </c>
    </row>
    <row r="155" spans="1:110" ht="24.95" customHeight="1">
      <c r="A155" s="89">
        <v>131</v>
      </c>
      <c r="B155" s="74" t="s">
        <v>283</v>
      </c>
      <c r="C155" s="60"/>
      <c r="D155" s="75"/>
      <c r="E155" s="70"/>
      <c r="F155" s="60" t="s">
        <v>256</v>
      </c>
      <c r="G155" s="64">
        <v>0</v>
      </c>
      <c r="H155" s="76">
        <v>0</v>
      </c>
      <c r="I155" s="76">
        <v>0</v>
      </c>
      <c r="J155" s="33"/>
      <c r="K155" s="33">
        <v>0</v>
      </c>
      <c r="L155" s="33">
        <f t="shared" si="239"/>
        <v>0</v>
      </c>
      <c r="M155" s="34"/>
      <c r="N155" s="33">
        <f t="shared" si="242"/>
        <v>0</v>
      </c>
      <c r="O155" s="33">
        <f t="shared" si="228"/>
        <v>0</v>
      </c>
      <c r="P155" s="34">
        <f t="shared" si="236"/>
        <v>0</v>
      </c>
      <c r="Q155" s="34">
        <f t="shared" si="241"/>
        <v>0</v>
      </c>
      <c r="R155" s="33">
        <f t="shared" si="240"/>
        <v>0</v>
      </c>
      <c r="S155" s="36"/>
      <c r="T155" s="34">
        <v>0</v>
      </c>
      <c r="U155" s="34">
        <v>0</v>
      </c>
      <c r="V155" s="34">
        <v>0</v>
      </c>
      <c r="W155" s="34">
        <v>0</v>
      </c>
      <c r="X155" s="34">
        <v>0</v>
      </c>
      <c r="Y155" s="34">
        <v>0</v>
      </c>
      <c r="Z155" s="34"/>
      <c r="AA155" s="33">
        <v>0</v>
      </c>
      <c r="AB155" s="34">
        <f t="shared" si="229"/>
        <v>0</v>
      </c>
      <c r="AC155" s="33"/>
      <c r="AD155" s="33"/>
      <c r="AE155" s="33"/>
      <c r="AF155" s="65">
        <f t="shared" si="230"/>
        <v>0</v>
      </c>
      <c r="AG155" s="33">
        <f t="shared" si="231"/>
        <v>0</v>
      </c>
      <c r="AH155" s="65">
        <f t="shared" si="232"/>
        <v>0</v>
      </c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>
        <v>0</v>
      </c>
      <c r="AW155" s="33">
        <v>0</v>
      </c>
      <c r="AX155" s="33"/>
      <c r="AY155" s="33"/>
      <c r="AZ155" s="33"/>
      <c r="BA155" s="33"/>
      <c r="BB155" s="33">
        <v>0</v>
      </c>
      <c r="BC155" s="33">
        <v>0</v>
      </c>
      <c r="BD155" s="33"/>
      <c r="BE155" s="33"/>
      <c r="BF155" s="33"/>
      <c r="BG155" s="33"/>
      <c r="BH155" s="33"/>
      <c r="BI155" s="33">
        <v>0</v>
      </c>
      <c r="BJ155" s="33"/>
      <c r="BK155" s="33">
        <v>0</v>
      </c>
      <c r="BL155" s="33">
        <v>0</v>
      </c>
      <c r="BM155" s="33"/>
      <c r="BN155" s="33">
        <v>0</v>
      </c>
      <c r="BO155" s="33">
        <v>0</v>
      </c>
      <c r="BP155" s="33"/>
      <c r="BQ155" s="33"/>
      <c r="BR155" s="33"/>
      <c r="BT155" s="65">
        <f t="shared" si="233"/>
        <v>0</v>
      </c>
      <c r="BU155" s="33">
        <f t="shared" si="234"/>
        <v>0</v>
      </c>
      <c r="BV155" s="65">
        <f t="shared" si="235"/>
        <v>0</v>
      </c>
      <c r="BW155" s="33">
        <v>0</v>
      </c>
      <c r="BX155" s="33">
        <v>0</v>
      </c>
      <c r="BY155" s="33">
        <v>0</v>
      </c>
      <c r="BZ155" s="33">
        <v>0</v>
      </c>
      <c r="CA155" s="33">
        <v>0</v>
      </c>
      <c r="CB155" s="33">
        <v>0</v>
      </c>
      <c r="CC155" s="33">
        <v>0</v>
      </c>
      <c r="CD155" s="33">
        <v>0</v>
      </c>
      <c r="CE155" s="33">
        <v>0</v>
      </c>
      <c r="CF155" s="33">
        <v>0</v>
      </c>
      <c r="CG155" s="33">
        <v>0</v>
      </c>
      <c r="CH155" s="33">
        <v>0</v>
      </c>
      <c r="CI155" s="33">
        <v>0</v>
      </c>
      <c r="CJ155" s="33">
        <v>0</v>
      </c>
      <c r="CK155" s="33">
        <v>0</v>
      </c>
      <c r="CL155" s="33">
        <v>0</v>
      </c>
      <c r="CM155" s="33">
        <v>0</v>
      </c>
      <c r="CN155" s="33">
        <v>0</v>
      </c>
      <c r="CO155" s="33">
        <v>0</v>
      </c>
      <c r="CP155" s="33">
        <v>0</v>
      </c>
      <c r="CQ155" s="33">
        <v>0</v>
      </c>
      <c r="CR155" s="33">
        <v>0</v>
      </c>
      <c r="CS155" s="33">
        <v>0</v>
      </c>
      <c r="CT155" s="33">
        <v>0</v>
      </c>
      <c r="CU155" s="33"/>
      <c r="CV155" s="33">
        <v>0</v>
      </c>
      <c r="CW155" s="33">
        <v>0</v>
      </c>
      <c r="CX155" s="33"/>
      <c r="CY155" s="33">
        <v>0</v>
      </c>
      <c r="CZ155" s="33">
        <v>0</v>
      </c>
      <c r="DA155" s="33"/>
      <c r="DB155" s="33">
        <v>0</v>
      </c>
      <c r="DC155" s="33">
        <v>0</v>
      </c>
      <c r="DD155" s="33">
        <v>0</v>
      </c>
      <c r="DE155" s="33">
        <v>0</v>
      </c>
      <c r="DF155" s="66">
        <v>0</v>
      </c>
    </row>
    <row r="156" spans="1:110" ht="24.95" customHeight="1">
      <c r="A156" s="89">
        <v>132</v>
      </c>
      <c r="B156" s="74" t="s">
        <v>284</v>
      </c>
      <c r="C156" s="60"/>
      <c r="D156" s="75"/>
      <c r="E156" s="70"/>
      <c r="F156" s="60" t="s">
        <v>256</v>
      </c>
      <c r="G156" s="64">
        <v>0</v>
      </c>
      <c r="H156" s="76">
        <v>0</v>
      </c>
      <c r="I156" s="76">
        <v>0</v>
      </c>
      <c r="J156" s="33"/>
      <c r="K156" s="33">
        <v>0</v>
      </c>
      <c r="L156" s="33">
        <f t="shared" si="239"/>
        <v>0</v>
      </c>
      <c r="M156" s="34"/>
      <c r="N156" s="33">
        <f t="shared" si="242"/>
        <v>0</v>
      </c>
      <c r="O156" s="33">
        <f t="shared" si="228"/>
        <v>0</v>
      </c>
      <c r="P156" s="34">
        <f t="shared" si="236"/>
        <v>0</v>
      </c>
      <c r="Q156" s="34">
        <f t="shared" si="241"/>
        <v>0</v>
      </c>
      <c r="R156" s="33">
        <f t="shared" si="240"/>
        <v>0</v>
      </c>
      <c r="S156" s="36"/>
      <c r="T156" s="34">
        <v>0</v>
      </c>
      <c r="U156" s="34">
        <v>0</v>
      </c>
      <c r="V156" s="34">
        <v>0</v>
      </c>
      <c r="W156" s="34">
        <v>0</v>
      </c>
      <c r="X156" s="34">
        <v>0</v>
      </c>
      <c r="Y156" s="34">
        <v>0</v>
      </c>
      <c r="Z156" s="34"/>
      <c r="AA156" s="33">
        <v>0</v>
      </c>
      <c r="AB156" s="34">
        <f t="shared" si="229"/>
        <v>0</v>
      </c>
      <c r="AC156" s="33"/>
      <c r="AD156" s="33"/>
      <c r="AE156" s="33"/>
      <c r="AF156" s="65">
        <f t="shared" si="230"/>
        <v>0</v>
      </c>
      <c r="AG156" s="33">
        <f t="shared" si="231"/>
        <v>0</v>
      </c>
      <c r="AH156" s="65">
        <f t="shared" si="232"/>
        <v>0</v>
      </c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>
        <v>0</v>
      </c>
      <c r="AW156" s="33">
        <v>0</v>
      </c>
      <c r="AX156" s="33"/>
      <c r="AY156" s="33"/>
      <c r="AZ156" s="33"/>
      <c r="BA156" s="33"/>
      <c r="BB156" s="33">
        <v>0</v>
      </c>
      <c r="BC156" s="33">
        <v>0</v>
      </c>
      <c r="BD156" s="33"/>
      <c r="BE156" s="33"/>
      <c r="BF156" s="33"/>
      <c r="BG156" s="33"/>
      <c r="BH156" s="33"/>
      <c r="BI156" s="33">
        <v>0</v>
      </c>
      <c r="BJ156" s="33"/>
      <c r="BK156" s="33">
        <v>0</v>
      </c>
      <c r="BL156" s="33">
        <v>0</v>
      </c>
      <c r="BM156" s="33"/>
      <c r="BN156" s="33">
        <v>0</v>
      </c>
      <c r="BO156" s="33">
        <v>0</v>
      </c>
      <c r="BP156" s="33"/>
      <c r="BQ156" s="33"/>
      <c r="BR156" s="33"/>
      <c r="BT156" s="65">
        <f t="shared" si="233"/>
        <v>0</v>
      </c>
      <c r="BU156" s="33">
        <f t="shared" si="234"/>
        <v>0</v>
      </c>
      <c r="BV156" s="65">
        <f t="shared" si="235"/>
        <v>0</v>
      </c>
      <c r="BW156" s="33">
        <v>0</v>
      </c>
      <c r="BX156" s="33">
        <v>0</v>
      </c>
      <c r="BY156" s="33">
        <v>0</v>
      </c>
      <c r="BZ156" s="33">
        <v>0</v>
      </c>
      <c r="CA156" s="33">
        <v>0</v>
      </c>
      <c r="CB156" s="33">
        <v>0</v>
      </c>
      <c r="CC156" s="33">
        <v>0</v>
      </c>
      <c r="CD156" s="33">
        <v>0</v>
      </c>
      <c r="CE156" s="33">
        <v>0</v>
      </c>
      <c r="CF156" s="33">
        <v>0</v>
      </c>
      <c r="CG156" s="33">
        <v>0</v>
      </c>
      <c r="CH156" s="33">
        <v>0</v>
      </c>
      <c r="CI156" s="33">
        <v>0</v>
      </c>
      <c r="CJ156" s="33">
        <v>0</v>
      </c>
      <c r="CK156" s="33">
        <v>0</v>
      </c>
      <c r="CL156" s="33">
        <v>0</v>
      </c>
      <c r="CM156" s="33">
        <v>0</v>
      </c>
      <c r="CN156" s="33">
        <v>0</v>
      </c>
      <c r="CO156" s="33">
        <v>0</v>
      </c>
      <c r="CP156" s="33">
        <v>0</v>
      </c>
      <c r="CQ156" s="33">
        <v>0</v>
      </c>
      <c r="CR156" s="33">
        <v>0</v>
      </c>
      <c r="CS156" s="33">
        <v>0</v>
      </c>
      <c r="CT156" s="33">
        <v>0</v>
      </c>
      <c r="CU156" s="33"/>
      <c r="CV156" s="33">
        <v>0</v>
      </c>
      <c r="CW156" s="33">
        <v>0</v>
      </c>
      <c r="CX156" s="33"/>
      <c r="CY156" s="33">
        <v>0</v>
      </c>
      <c r="CZ156" s="33">
        <v>0</v>
      </c>
      <c r="DA156" s="33"/>
      <c r="DB156" s="33">
        <v>0</v>
      </c>
      <c r="DC156" s="33">
        <v>0</v>
      </c>
      <c r="DD156" s="33">
        <v>0</v>
      </c>
      <c r="DE156" s="33">
        <v>0</v>
      </c>
      <c r="DF156" s="66"/>
    </row>
    <row r="157" spans="1:110" ht="24.95" customHeight="1">
      <c r="A157" s="89">
        <v>133</v>
      </c>
      <c r="B157" s="74" t="s">
        <v>285</v>
      </c>
      <c r="C157" s="60"/>
      <c r="D157" s="75"/>
      <c r="E157" s="70"/>
      <c r="F157" s="60" t="s">
        <v>256</v>
      </c>
      <c r="G157" s="64">
        <v>0</v>
      </c>
      <c r="H157" s="76">
        <v>0</v>
      </c>
      <c r="I157" s="76">
        <v>0</v>
      </c>
      <c r="J157" s="33"/>
      <c r="K157" s="33">
        <v>0</v>
      </c>
      <c r="L157" s="33">
        <f t="shared" si="239"/>
        <v>0</v>
      </c>
      <c r="M157" s="34"/>
      <c r="N157" s="33">
        <f t="shared" si="242"/>
        <v>0</v>
      </c>
      <c r="O157" s="33">
        <f t="shared" si="228"/>
        <v>0</v>
      </c>
      <c r="P157" s="34">
        <f t="shared" si="236"/>
        <v>0</v>
      </c>
      <c r="Q157" s="34">
        <f t="shared" ref="Q157:Q159" si="243">N157</f>
        <v>0</v>
      </c>
      <c r="R157" s="33">
        <f t="shared" si="240"/>
        <v>0</v>
      </c>
      <c r="S157" s="36"/>
      <c r="T157" s="34">
        <v>0</v>
      </c>
      <c r="U157" s="34">
        <v>0</v>
      </c>
      <c r="V157" s="34">
        <v>0</v>
      </c>
      <c r="W157" s="34">
        <v>0</v>
      </c>
      <c r="X157" s="34">
        <v>0</v>
      </c>
      <c r="Y157" s="34">
        <v>0</v>
      </c>
      <c r="Z157" s="34"/>
      <c r="AA157" s="33">
        <v>0</v>
      </c>
      <c r="AB157" s="34">
        <f t="shared" si="229"/>
        <v>0</v>
      </c>
      <c r="AC157" s="33"/>
      <c r="AD157" s="33"/>
      <c r="AE157" s="33"/>
      <c r="AF157" s="65">
        <f t="shared" si="230"/>
        <v>0</v>
      </c>
      <c r="AG157" s="33">
        <f t="shared" si="231"/>
        <v>0</v>
      </c>
      <c r="AH157" s="65">
        <f t="shared" si="232"/>
        <v>0</v>
      </c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>
        <v>0</v>
      </c>
      <c r="AW157" s="33">
        <v>0</v>
      </c>
      <c r="AX157" s="33"/>
      <c r="AY157" s="33"/>
      <c r="AZ157" s="33"/>
      <c r="BA157" s="33"/>
      <c r="BB157" s="33">
        <v>0</v>
      </c>
      <c r="BC157" s="33">
        <v>0</v>
      </c>
      <c r="BD157" s="33"/>
      <c r="BE157" s="33"/>
      <c r="BF157" s="33"/>
      <c r="BG157" s="33"/>
      <c r="BH157" s="33"/>
      <c r="BI157" s="33">
        <v>0</v>
      </c>
      <c r="BJ157" s="33"/>
      <c r="BK157" s="33">
        <v>0</v>
      </c>
      <c r="BL157" s="33">
        <v>0</v>
      </c>
      <c r="BM157" s="33"/>
      <c r="BN157" s="33">
        <v>0</v>
      </c>
      <c r="BO157" s="33">
        <v>0</v>
      </c>
      <c r="BP157" s="33"/>
      <c r="BQ157" s="33"/>
      <c r="BR157" s="33"/>
      <c r="BT157" s="65">
        <f t="shared" si="233"/>
        <v>0</v>
      </c>
      <c r="BU157" s="33">
        <f t="shared" si="234"/>
        <v>0</v>
      </c>
      <c r="BV157" s="65">
        <f t="shared" si="235"/>
        <v>0</v>
      </c>
      <c r="BW157" s="33">
        <v>0</v>
      </c>
      <c r="BX157" s="33">
        <v>0</v>
      </c>
      <c r="BY157" s="33">
        <v>0</v>
      </c>
      <c r="BZ157" s="33">
        <v>0</v>
      </c>
      <c r="CA157" s="33">
        <v>0</v>
      </c>
      <c r="CB157" s="33">
        <v>0</v>
      </c>
      <c r="CC157" s="33">
        <v>0</v>
      </c>
      <c r="CD157" s="33">
        <v>0</v>
      </c>
      <c r="CE157" s="33">
        <v>0</v>
      </c>
      <c r="CF157" s="33">
        <v>0</v>
      </c>
      <c r="CG157" s="33">
        <v>0</v>
      </c>
      <c r="CH157" s="33">
        <v>0</v>
      </c>
      <c r="CI157" s="33">
        <v>0</v>
      </c>
      <c r="CJ157" s="33">
        <v>0</v>
      </c>
      <c r="CK157" s="33">
        <v>0</v>
      </c>
      <c r="CL157" s="33">
        <v>0</v>
      </c>
      <c r="CM157" s="33">
        <v>0</v>
      </c>
      <c r="CN157" s="33">
        <v>0</v>
      </c>
      <c r="CO157" s="33">
        <v>0</v>
      </c>
      <c r="CP157" s="33">
        <v>0</v>
      </c>
      <c r="CQ157" s="33">
        <v>0</v>
      </c>
      <c r="CR157" s="33">
        <v>0</v>
      </c>
      <c r="CS157" s="33">
        <v>0</v>
      </c>
      <c r="CT157" s="33">
        <v>0</v>
      </c>
      <c r="CU157" s="33"/>
      <c r="CV157" s="33">
        <v>0</v>
      </c>
      <c r="CW157" s="33">
        <v>0</v>
      </c>
      <c r="CX157" s="33"/>
      <c r="CY157" s="33">
        <v>0</v>
      </c>
      <c r="CZ157" s="33">
        <v>0</v>
      </c>
      <c r="DA157" s="33"/>
      <c r="DB157" s="33">
        <v>0</v>
      </c>
      <c r="DC157" s="33">
        <v>0</v>
      </c>
      <c r="DD157" s="33">
        <v>0</v>
      </c>
      <c r="DE157" s="33">
        <v>0</v>
      </c>
      <c r="DF157" s="66"/>
    </row>
    <row r="158" spans="1:110" ht="24.95" customHeight="1">
      <c r="A158" s="89">
        <v>134</v>
      </c>
      <c r="B158" s="74" t="s">
        <v>286</v>
      </c>
      <c r="C158" s="60"/>
      <c r="D158" s="75"/>
      <c r="E158" s="70"/>
      <c r="F158" s="60" t="s">
        <v>291</v>
      </c>
      <c r="G158" s="64">
        <v>0</v>
      </c>
      <c r="H158" s="76">
        <v>0</v>
      </c>
      <c r="I158" s="76">
        <v>0</v>
      </c>
      <c r="J158" s="33"/>
      <c r="K158" s="33">
        <v>0</v>
      </c>
      <c r="L158" s="33">
        <f t="shared" si="239"/>
        <v>0</v>
      </c>
      <c r="M158" s="34"/>
      <c r="N158" s="33">
        <f t="shared" si="242"/>
        <v>0</v>
      </c>
      <c r="O158" s="33">
        <f t="shared" si="228"/>
        <v>0</v>
      </c>
      <c r="P158" s="34">
        <f t="shared" si="236"/>
        <v>0</v>
      </c>
      <c r="Q158" s="34">
        <f t="shared" si="243"/>
        <v>0</v>
      </c>
      <c r="R158" s="33">
        <f t="shared" si="240"/>
        <v>0</v>
      </c>
      <c r="S158" s="36"/>
      <c r="T158" s="34">
        <v>0</v>
      </c>
      <c r="U158" s="34">
        <v>0</v>
      </c>
      <c r="V158" s="34">
        <v>0</v>
      </c>
      <c r="W158" s="34">
        <v>0</v>
      </c>
      <c r="X158" s="34">
        <v>0</v>
      </c>
      <c r="Y158" s="34">
        <v>0</v>
      </c>
      <c r="Z158" s="34"/>
      <c r="AA158" s="33">
        <v>0</v>
      </c>
      <c r="AB158" s="34">
        <f t="shared" si="229"/>
        <v>0</v>
      </c>
      <c r="AC158" s="33"/>
      <c r="AD158" s="33"/>
      <c r="AE158" s="33"/>
      <c r="AF158" s="65">
        <f t="shared" si="230"/>
        <v>0</v>
      </c>
      <c r="AG158" s="33">
        <f t="shared" si="231"/>
        <v>0</v>
      </c>
      <c r="AH158" s="65">
        <f t="shared" si="232"/>
        <v>0</v>
      </c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>
        <v>0</v>
      </c>
      <c r="AW158" s="33">
        <v>0</v>
      </c>
      <c r="AX158" s="33"/>
      <c r="AY158" s="33"/>
      <c r="AZ158" s="33"/>
      <c r="BA158" s="33"/>
      <c r="BB158" s="33">
        <v>0</v>
      </c>
      <c r="BC158" s="33">
        <v>0</v>
      </c>
      <c r="BD158" s="33"/>
      <c r="BE158" s="33"/>
      <c r="BF158" s="33"/>
      <c r="BG158" s="33"/>
      <c r="BH158" s="33"/>
      <c r="BI158" s="33">
        <v>0</v>
      </c>
      <c r="BJ158" s="33"/>
      <c r="BK158" s="33">
        <v>0</v>
      </c>
      <c r="BL158" s="33">
        <v>0</v>
      </c>
      <c r="BM158" s="33"/>
      <c r="BN158" s="33">
        <v>0</v>
      </c>
      <c r="BO158" s="33">
        <v>0</v>
      </c>
      <c r="BP158" s="33"/>
      <c r="BQ158" s="33"/>
      <c r="BR158" s="33"/>
      <c r="BT158" s="65">
        <f t="shared" si="233"/>
        <v>0</v>
      </c>
      <c r="BU158" s="33">
        <f t="shared" si="234"/>
        <v>0</v>
      </c>
      <c r="BV158" s="65">
        <f t="shared" si="235"/>
        <v>0</v>
      </c>
      <c r="BW158" s="33">
        <v>0</v>
      </c>
      <c r="BX158" s="33">
        <v>0</v>
      </c>
      <c r="BY158" s="33">
        <v>0</v>
      </c>
      <c r="BZ158" s="33">
        <v>0</v>
      </c>
      <c r="CA158" s="33">
        <v>0</v>
      </c>
      <c r="CB158" s="33">
        <v>0</v>
      </c>
      <c r="CC158" s="33">
        <v>0</v>
      </c>
      <c r="CD158" s="33">
        <v>0</v>
      </c>
      <c r="CE158" s="33">
        <v>0</v>
      </c>
      <c r="CF158" s="33">
        <v>0</v>
      </c>
      <c r="CG158" s="33">
        <v>0</v>
      </c>
      <c r="CH158" s="33">
        <v>0</v>
      </c>
      <c r="CI158" s="33">
        <v>0</v>
      </c>
      <c r="CJ158" s="33">
        <v>0</v>
      </c>
      <c r="CK158" s="33">
        <v>0</v>
      </c>
      <c r="CL158" s="33">
        <v>0</v>
      </c>
      <c r="CM158" s="33">
        <v>0</v>
      </c>
      <c r="CN158" s="33">
        <v>0</v>
      </c>
      <c r="CO158" s="33">
        <v>0</v>
      </c>
      <c r="CP158" s="33">
        <v>0</v>
      </c>
      <c r="CQ158" s="33">
        <v>0</v>
      </c>
      <c r="CR158" s="33">
        <v>0</v>
      </c>
      <c r="CS158" s="33">
        <v>0</v>
      </c>
      <c r="CT158" s="33">
        <v>0</v>
      </c>
      <c r="CU158" s="33"/>
      <c r="CV158" s="33">
        <v>0</v>
      </c>
      <c r="CW158" s="33">
        <v>0</v>
      </c>
      <c r="CX158" s="33"/>
      <c r="CY158" s="33">
        <v>0</v>
      </c>
      <c r="CZ158" s="33">
        <v>0</v>
      </c>
      <c r="DA158" s="33"/>
      <c r="DB158" s="33">
        <v>0</v>
      </c>
      <c r="DC158" s="33">
        <v>0</v>
      </c>
      <c r="DD158" s="33">
        <v>0</v>
      </c>
      <c r="DE158" s="33">
        <v>0</v>
      </c>
      <c r="DF158" s="66"/>
    </row>
    <row r="159" spans="1:110" ht="24.95" customHeight="1">
      <c r="A159" s="89">
        <v>135</v>
      </c>
      <c r="B159" s="74" t="s">
        <v>287</v>
      </c>
      <c r="C159" s="60"/>
      <c r="D159" s="75"/>
      <c r="E159" s="70"/>
      <c r="F159" s="60" t="s">
        <v>256</v>
      </c>
      <c r="G159" s="64">
        <v>0</v>
      </c>
      <c r="H159" s="76">
        <v>0</v>
      </c>
      <c r="I159" s="76">
        <v>0</v>
      </c>
      <c r="J159" s="33"/>
      <c r="K159" s="33">
        <v>0</v>
      </c>
      <c r="L159" s="33">
        <f t="shared" si="239"/>
        <v>0</v>
      </c>
      <c r="M159" s="34"/>
      <c r="N159" s="33">
        <f t="shared" si="242"/>
        <v>0</v>
      </c>
      <c r="O159" s="33">
        <f t="shared" si="228"/>
        <v>0</v>
      </c>
      <c r="P159" s="34">
        <f t="shared" si="236"/>
        <v>0</v>
      </c>
      <c r="Q159" s="34">
        <f t="shared" si="243"/>
        <v>0</v>
      </c>
      <c r="R159" s="33">
        <f t="shared" si="240"/>
        <v>0</v>
      </c>
      <c r="S159" s="36"/>
      <c r="T159" s="34">
        <v>0</v>
      </c>
      <c r="U159" s="34">
        <v>0</v>
      </c>
      <c r="V159" s="34">
        <v>0</v>
      </c>
      <c r="W159" s="34">
        <v>0</v>
      </c>
      <c r="X159" s="34">
        <v>0</v>
      </c>
      <c r="Y159" s="34">
        <v>0</v>
      </c>
      <c r="Z159" s="34"/>
      <c r="AA159" s="33">
        <v>0</v>
      </c>
      <c r="AB159" s="34">
        <f t="shared" si="229"/>
        <v>0</v>
      </c>
      <c r="AC159" s="33"/>
      <c r="AD159" s="33"/>
      <c r="AE159" s="33"/>
      <c r="AF159" s="65">
        <f t="shared" si="230"/>
        <v>0</v>
      </c>
      <c r="AG159" s="33">
        <f t="shared" si="231"/>
        <v>0</v>
      </c>
      <c r="AH159" s="65">
        <f t="shared" si="232"/>
        <v>0</v>
      </c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>
        <v>0</v>
      </c>
      <c r="AW159" s="33">
        <v>0</v>
      </c>
      <c r="AX159" s="33"/>
      <c r="AY159" s="33"/>
      <c r="AZ159" s="33"/>
      <c r="BA159" s="33"/>
      <c r="BB159" s="33">
        <v>0</v>
      </c>
      <c r="BC159" s="33">
        <v>0</v>
      </c>
      <c r="BD159" s="33"/>
      <c r="BE159" s="33"/>
      <c r="BF159" s="33"/>
      <c r="BG159" s="33"/>
      <c r="BH159" s="33"/>
      <c r="BI159" s="33">
        <v>0</v>
      </c>
      <c r="BJ159" s="33"/>
      <c r="BK159" s="33">
        <v>0</v>
      </c>
      <c r="BL159" s="33">
        <v>0</v>
      </c>
      <c r="BM159" s="33"/>
      <c r="BN159" s="33">
        <v>0</v>
      </c>
      <c r="BO159" s="33">
        <v>0</v>
      </c>
      <c r="BP159" s="33"/>
      <c r="BQ159" s="33"/>
      <c r="BR159" s="33"/>
      <c r="BT159" s="65">
        <f t="shared" si="233"/>
        <v>0</v>
      </c>
      <c r="BU159" s="33">
        <f t="shared" si="234"/>
        <v>0</v>
      </c>
      <c r="BV159" s="65">
        <f t="shared" si="235"/>
        <v>0</v>
      </c>
      <c r="BW159" s="33">
        <v>0</v>
      </c>
      <c r="BX159" s="33">
        <v>0</v>
      </c>
      <c r="BY159" s="33">
        <v>0</v>
      </c>
      <c r="BZ159" s="33">
        <v>0</v>
      </c>
      <c r="CA159" s="33">
        <v>0</v>
      </c>
      <c r="CB159" s="33">
        <v>0</v>
      </c>
      <c r="CC159" s="33">
        <v>0</v>
      </c>
      <c r="CD159" s="33">
        <v>0</v>
      </c>
      <c r="CE159" s="33">
        <v>0</v>
      </c>
      <c r="CF159" s="33">
        <v>0</v>
      </c>
      <c r="CG159" s="33">
        <v>0</v>
      </c>
      <c r="CH159" s="33">
        <v>0</v>
      </c>
      <c r="CI159" s="33">
        <v>0</v>
      </c>
      <c r="CJ159" s="33">
        <v>0</v>
      </c>
      <c r="CK159" s="33">
        <v>0</v>
      </c>
      <c r="CL159" s="33">
        <v>0</v>
      </c>
      <c r="CM159" s="33">
        <v>0</v>
      </c>
      <c r="CN159" s="33">
        <v>0</v>
      </c>
      <c r="CO159" s="33">
        <v>0</v>
      </c>
      <c r="CP159" s="33">
        <v>0</v>
      </c>
      <c r="CQ159" s="33">
        <v>0</v>
      </c>
      <c r="CR159" s="33">
        <v>0</v>
      </c>
      <c r="CS159" s="33">
        <v>0</v>
      </c>
      <c r="CT159" s="33">
        <v>0</v>
      </c>
      <c r="CU159" s="33"/>
      <c r="CV159" s="33">
        <v>0</v>
      </c>
      <c r="CW159" s="33">
        <v>0</v>
      </c>
      <c r="CX159" s="33"/>
      <c r="CY159" s="33">
        <v>0</v>
      </c>
      <c r="CZ159" s="33">
        <v>0</v>
      </c>
      <c r="DA159" s="33"/>
      <c r="DB159" s="33">
        <v>0</v>
      </c>
      <c r="DC159" s="33">
        <v>0</v>
      </c>
      <c r="DD159" s="33">
        <v>0</v>
      </c>
      <c r="DE159" s="33">
        <v>0</v>
      </c>
      <c r="DF159" s="66"/>
    </row>
    <row r="160" spans="1:110" s="25" customFormat="1" ht="24.95" customHeight="1">
      <c r="A160" s="46" t="s">
        <v>33</v>
      </c>
      <c r="B160" s="47"/>
      <c r="C160" s="48"/>
      <c r="D160" s="49"/>
      <c r="E160" s="50"/>
      <c r="F160" s="51"/>
      <c r="G160" s="81">
        <f>SUM(G161:G167)</f>
        <v>0</v>
      </c>
      <c r="H160" s="53"/>
      <c r="I160" s="81">
        <f>SUM(I161:I167)</f>
        <v>0</v>
      </c>
      <c r="J160" s="81">
        <f>SUM(J161:J167)</f>
        <v>0</v>
      </c>
      <c r="K160" s="53"/>
      <c r="L160" s="81">
        <f>SUM(L161:L167)</f>
        <v>0</v>
      </c>
      <c r="M160" s="81">
        <f>SUM(M161:M167)</f>
        <v>0</v>
      </c>
      <c r="N160" s="53"/>
      <c r="O160" s="81">
        <f>SUM(O161:O167)</f>
        <v>0</v>
      </c>
      <c r="P160" s="81">
        <f>SUM(P161:P167)</f>
        <v>0</v>
      </c>
      <c r="Q160" s="54"/>
      <c r="R160" s="81">
        <f>SUM(R161:R167)</f>
        <v>0</v>
      </c>
      <c r="S160" s="56"/>
      <c r="T160" s="55">
        <v>0</v>
      </c>
      <c r="U160" s="55">
        <v>0</v>
      </c>
      <c r="V160" s="55">
        <v>0</v>
      </c>
      <c r="W160" s="55">
        <v>0</v>
      </c>
      <c r="X160" s="55">
        <v>0</v>
      </c>
      <c r="Y160" s="55">
        <v>0</v>
      </c>
      <c r="Z160" s="81">
        <f>SUM(Z161:Z167)</f>
        <v>0</v>
      </c>
      <c r="AA160" s="53"/>
      <c r="AB160" s="81">
        <f>SUM(AB161:AB167)</f>
        <v>0</v>
      </c>
      <c r="AC160" s="81">
        <f>SUM(AC161:AC167)</f>
        <v>0</v>
      </c>
      <c r="AD160" s="54"/>
      <c r="AE160" s="81">
        <f>SUM(AE161:AE167)</f>
        <v>0</v>
      </c>
      <c r="AF160" s="81">
        <f>SUM(AF161:AF167)</f>
        <v>0</v>
      </c>
      <c r="AG160" s="52">
        <f>IFERROR(AH160/AF160,0)</f>
        <v>0</v>
      </c>
      <c r="AH160" s="81">
        <f>SUM(AH161:AH167)</f>
        <v>0</v>
      </c>
      <c r="AI160" s="81"/>
      <c r="AJ160" s="81"/>
      <c r="AK160" s="81">
        <f t="shared" ref="AK160:BR160" si="244">SUM(AK161:AK167)</f>
        <v>0</v>
      </c>
      <c r="AL160" s="81"/>
      <c r="AM160" s="81"/>
      <c r="AN160" s="81">
        <f t="shared" si="244"/>
        <v>0</v>
      </c>
      <c r="AO160" s="81"/>
      <c r="AP160" s="81"/>
      <c r="AQ160" s="81">
        <f t="shared" si="244"/>
        <v>0</v>
      </c>
      <c r="AR160" s="81"/>
      <c r="AS160" s="81"/>
      <c r="AT160" s="81">
        <f t="shared" si="244"/>
        <v>0</v>
      </c>
      <c r="AU160" s="81"/>
      <c r="AV160" s="81"/>
      <c r="AW160" s="81">
        <f t="shared" si="244"/>
        <v>0</v>
      </c>
      <c r="AX160" s="81"/>
      <c r="AY160" s="81"/>
      <c r="AZ160" s="81">
        <f t="shared" si="244"/>
        <v>0</v>
      </c>
      <c r="BA160" s="81"/>
      <c r="BB160" s="81"/>
      <c r="BC160" s="81">
        <f t="shared" si="244"/>
        <v>0</v>
      </c>
      <c r="BD160" s="81"/>
      <c r="BE160" s="81"/>
      <c r="BF160" s="81">
        <f t="shared" si="244"/>
        <v>0</v>
      </c>
      <c r="BG160" s="81">
        <v>0</v>
      </c>
      <c r="BH160" s="81"/>
      <c r="BI160" s="81">
        <v>0</v>
      </c>
      <c r="BJ160" s="81"/>
      <c r="BK160" s="81"/>
      <c r="BL160" s="81">
        <f t="shared" si="244"/>
        <v>0</v>
      </c>
      <c r="BM160" s="81"/>
      <c r="BN160" s="81"/>
      <c r="BO160" s="81">
        <f t="shared" si="244"/>
        <v>0</v>
      </c>
      <c r="BP160" s="81"/>
      <c r="BQ160" s="81"/>
      <c r="BR160" s="81">
        <f t="shared" si="244"/>
        <v>0</v>
      </c>
      <c r="BT160" s="81">
        <f>SUM(BT161:BT167)</f>
        <v>0</v>
      </c>
      <c r="BU160" s="52">
        <f>IFERROR(BV160/BT160,0)</f>
        <v>0</v>
      </c>
      <c r="BV160" s="81">
        <f>SUM(BV161:BV167)</f>
        <v>0</v>
      </c>
      <c r="BW160" s="53"/>
      <c r="BX160" s="53"/>
      <c r="BY160" s="81">
        <f>SUM(BY161:BY167)</f>
        <v>0</v>
      </c>
      <c r="BZ160" s="53"/>
      <c r="CA160" s="53"/>
      <c r="CB160" s="81">
        <f>SUM(CB161:CB167)</f>
        <v>0</v>
      </c>
      <c r="CC160" s="53"/>
      <c r="CD160" s="53"/>
      <c r="CE160" s="81">
        <f t="shared" ref="CE160" si="245">SUM(CE161:CE167)</f>
        <v>0</v>
      </c>
      <c r="CF160" s="53"/>
      <c r="CG160" s="53"/>
      <c r="CH160" s="81">
        <f t="shared" ref="CH160" si="246">SUM(CH161:CH167)</f>
        <v>0</v>
      </c>
      <c r="CI160" s="53"/>
      <c r="CJ160" s="53"/>
      <c r="CK160" s="81">
        <f t="shared" ref="CK160" si="247">SUM(CK161:CK167)</f>
        <v>0</v>
      </c>
      <c r="CL160" s="53"/>
      <c r="CM160" s="53"/>
      <c r="CN160" s="81">
        <f t="shared" ref="CN160" si="248">SUM(CN161:CN167)</f>
        <v>0</v>
      </c>
      <c r="CO160" s="53"/>
      <c r="CP160" s="53"/>
      <c r="CQ160" s="81">
        <f t="shared" ref="CQ160" si="249">SUM(CQ161:CQ167)</f>
        <v>0</v>
      </c>
      <c r="CR160" s="53"/>
      <c r="CS160" s="53"/>
      <c r="CT160" s="81">
        <f t="shared" ref="CT160" si="250">SUM(CT161:CT167)</f>
        <v>0</v>
      </c>
      <c r="CU160" s="53">
        <v>0</v>
      </c>
      <c r="CV160" s="53"/>
      <c r="CW160" s="81">
        <v>0</v>
      </c>
      <c r="CX160" s="53"/>
      <c r="CY160" s="53"/>
      <c r="CZ160" s="81">
        <f t="shared" ref="CZ160" si="251">SUM(CZ161:CZ167)</f>
        <v>0</v>
      </c>
      <c r="DA160" s="53"/>
      <c r="DB160" s="53"/>
      <c r="DC160" s="81">
        <f t="shared" ref="DC160" si="252">SUM(DC161:DC167)</f>
        <v>0</v>
      </c>
      <c r="DD160" s="53"/>
      <c r="DE160" s="53"/>
      <c r="DF160" s="82">
        <f t="shared" ref="DF160" si="253">SUM(DF161:DF167)</f>
        <v>0</v>
      </c>
    </row>
    <row r="161" spans="1:110" ht="24.95" customHeight="1">
      <c r="A161" s="92">
        <v>136</v>
      </c>
      <c r="B161" s="93" t="s">
        <v>300</v>
      </c>
      <c r="C161" s="85" t="s">
        <v>307</v>
      </c>
      <c r="D161" s="31"/>
      <c r="E161" s="70"/>
      <c r="F161" s="60" t="s">
        <v>309</v>
      </c>
      <c r="G161" s="64">
        <v>0</v>
      </c>
      <c r="H161" s="76">
        <v>0</v>
      </c>
      <c r="I161" s="64">
        <v>0</v>
      </c>
      <c r="J161" s="33"/>
      <c r="K161" s="33"/>
      <c r="L161" s="33">
        <f t="shared" ref="L161:L167" si="254">J161*K161</f>
        <v>0</v>
      </c>
      <c r="M161" s="34"/>
      <c r="N161" s="33">
        <f t="shared" ref="N161:N167" si="255">IFERROR((G161*H161+J161*K161)/(G161+J161),0)</f>
        <v>0</v>
      </c>
      <c r="O161" s="33">
        <f t="shared" si="228"/>
        <v>0</v>
      </c>
      <c r="P161" s="34">
        <f t="shared" ref="P161:P167" si="256">G161+J161-M161</f>
        <v>0</v>
      </c>
      <c r="Q161" s="34">
        <f t="shared" ref="Q161:Q167" si="257">N161</f>
        <v>0</v>
      </c>
      <c r="R161" s="33">
        <f t="shared" ref="R161:R167" si="258">P161*Q161</f>
        <v>0</v>
      </c>
      <c r="S161" s="36">
        <v>46145</v>
      </c>
      <c r="T161" s="34">
        <v>0</v>
      </c>
      <c r="U161" s="34">
        <v>0</v>
      </c>
      <c r="V161" s="34">
        <v>0</v>
      </c>
      <c r="W161" s="34">
        <v>0</v>
      </c>
      <c r="X161" s="34">
        <v>0</v>
      </c>
      <c r="Y161" s="34">
        <v>0</v>
      </c>
      <c r="Z161" s="34"/>
      <c r="AA161" s="33">
        <v>0</v>
      </c>
      <c r="AB161" s="34">
        <f t="shared" ref="AB161:AB167" si="259">Z161*AA161</f>
        <v>0</v>
      </c>
      <c r="AC161" s="33"/>
      <c r="AD161" s="33"/>
      <c r="AE161" s="33"/>
      <c r="AF161" s="65">
        <f t="shared" ref="AF161:AF167" si="260">SUMIF($AI$6:$BR$6,$AF$6,AI161:BR161)</f>
        <v>0</v>
      </c>
      <c r="AG161" s="33">
        <f t="shared" ref="AG161:AG167" si="261">IFERROR(AH161/AF161,0)</f>
        <v>0</v>
      </c>
      <c r="AH161" s="65">
        <f t="shared" si="232"/>
        <v>0</v>
      </c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>
        <v>0</v>
      </c>
      <c r="BJ161" s="33"/>
      <c r="BK161" s="33"/>
      <c r="BL161" s="33"/>
      <c r="BM161" s="33"/>
      <c r="BN161" s="33"/>
      <c r="BO161" s="33"/>
      <c r="BP161" s="33"/>
      <c r="BQ161" s="33"/>
      <c r="BR161" s="33"/>
      <c r="BT161" s="65">
        <f>SUMIF($BW$6:$DF$6,$BT$6,BW161:DF161)</f>
        <v>0</v>
      </c>
      <c r="BU161" s="33">
        <f t="shared" ref="BU161:BU167" si="262">IFERROR(BV161/BT161,0)</f>
        <v>0</v>
      </c>
      <c r="BV161" s="65">
        <f t="shared" si="235"/>
        <v>0</v>
      </c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>
        <v>0</v>
      </c>
      <c r="CW161" s="33">
        <v>0</v>
      </c>
      <c r="CX161" s="33"/>
      <c r="CY161" s="33"/>
      <c r="CZ161" s="33"/>
      <c r="DA161" s="33"/>
      <c r="DB161" s="33"/>
      <c r="DC161" s="33"/>
      <c r="DD161" s="33"/>
      <c r="DE161" s="33"/>
      <c r="DF161" s="66"/>
    </row>
    <row r="162" spans="1:110" ht="24.95" customHeight="1">
      <c r="A162" s="92">
        <v>137</v>
      </c>
      <c r="B162" s="93" t="s">
        <v>301</v>
      </c>
      <c r="C162" s="85" t="s">
        <v>307</v>
      </c>
      <c r="D162" s="31"/>
      <c r="E162" s="70"/>
      <c r="F162" s="60" t="s">
        <v>309</v>
      </c>
      <c r="G162" s="64">
        <v>0</v>
      </c>
      <c r="H162" s="76">
        <v>0</v>
      </c>
      <c r="I162" s="64">
        <v>0</v>
      </c>
      <c r="J162" s="33"/>
      <c r="K162" s="33"/>
      <c r="L162" s="33">
        <f t="shared" si="254"/>
        <v>0</v>
      </c>
      <c r="M162" s="34"/>
      <c r="N162" s="33">
        <f t="shared" si="255"/>
        <v>0</v>
      </c>
      <c r="O162" s="33">
        <f t="shared" si="228"/>
        <v>0</v>
      </c>
      <c r="P162" s="34">
        <f t="shared" si="256"/>
        <v>0</v>
      </c>
      <c r="Q162" s="34">
        <f t="shared" si="257"/>
        <v>0</v>
      </c>
      <c r="R162" s="33">
        <f t="shared" si="258"/>
        <v>0</v>
      </c>
      <c r="S162" s="36">
        <v>46145</v>
      </c>
      <c r="T162" s="34">
        <v>0</v>
      </c>
      <c r="U162" s="34">
        <v>0</v>
      </c>
      <c r="V162" s="34">
        <v>0</v>
      </c>
      <c r="W162" s="34">
        <v>0</v>
      </c>
      <c r="X162" s="34">
        <v>0</v>
      </c>
      <c r="Y162" s="34">
        <v>0</v>
      </c>
      <c r="Z162" s="34"/>
      <c r="AA162" s="33">
        <v>0</v>
      </c>
      <c r="AB162" s="34">
        <f t="shared" si="259"/>
        <v>0</v>
      </c>
      <c r="AC162" s="33"/>
      <c r="AD162" s="33"/>
      <c r="AE162" s="33"/>
      <c r="AF162" s="65">
        <f t="shared" si="260"/>
        <v>0</v>
      </c>
      <c r="AG162" s="33">
        <f t="shared" si="261"/>
        <v>0</v>
      </c>
      <c r="AH162" s="65">
        <f t="shared" si="232"/>
        <v>0</v>
      </c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>
        <v>0</v>
      </c>
      <c r="BJ162" s="33"/>
      <c r="BK162" s="33"/>
      <c r="BL162" s="33"/>
      <c r="BM162" s="33"/>
      <c r="BN162" s="33"/>
      <c r="BO162" s="33"/>
      <c r="BP162" s="33"/>
      <c r="BQ162" s="33"/>
      <c r="BR162" s="33"/>
      <c r="BT162" s="65">
        <f t="shared" ref="BT162:BT167" si="263">SUMIF($BW$6:$DF$6,$BT$6,BW162:DF162)</f>
        <v>0</v>
      </c>
      <c r="BU162" s="33">
        <f t="shared" si="262"/>
        <v>0</v>
      </c>
      <c r="BV162" s="65">
        <f t="shared" si="235"/>
        <v>0</v>
      </c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>
        <v>0</v>
      </c>
      <c r="CW162" s="33">
        <v>0</v>
      </c>
      <c r="CX162" s="33"/>
      <c r="CY162" s="33"/>
      <c r="CZ162" s="33"/>
      <c r="DA162" s="33"/>
      <c r="DB162" s="33"/>
      <c r="DC162" s="33"/>
      <c r="DD162" s="33"/>
      <c r="DE162" s="33"/>
      <c r="DF162" s="66"/>
    </row>
    <row r="163" spans="1:110" ht="24.95" customHeight="1">
      <c r="A163" s="92">
        <v>138</v>
      </c>
      <c r="B163" s="93" t="s">
        <v>302</v>
      </c>
      <c r="C163" s="85" t="s">
        <v>307</v>
      </c>
      <c r="D163" s="31"/>
      <c r="E163" s="70"/>
      <c r="F163" s="60" t="s">
        <v>309</v>
      </c>
      <c r="G163" s="64">
        <v>0</v>
      </c>
      <c r="H163" s="76">
        <v>0</v>
      </c>
      <c r="I163" s="64">
        <v>0</v>
      </c>
      <c r="J163" s="33"/>
      <c r="K163" s="33"/>
      <c r="L163" s="33">
        <f t="shared" si="254"/>
        <v>0</v>
      </c>
      <c r="M163" s="34"/>
      <c r="N163" s="33">
        <f t="shared" si="255"/>
        <v>0</v>
      </c>
      <c r="O163" s="33">
        <f t="shared" si="228"/>
        <v>0</v>
      </c>
      <c r="P163" s="34">
        <f t="shared" si="256"/>
        <v>0</v>
      </c>
      <c r="Q163" s="34">
        <f t="shared" si="257"/>
        <v>0</v>
      </c>
      <c r="R163" s="33">
        <f t="shared" si="258"/>
        <v>0</v>
      </c>
      <c r="S163" s="36">
        <v>46176</v>
      </c>
      <c r="T163" s="34">
        <v>0</v>
      </c>
      <c r="U163" s="34">
        <v>0</v>
      </c>
      <c r="V163" s="34">
        <v>0</v>
      </c>
      <c r="W163" s="34">
        <v>0</v>
      </c>
      <c r="X163" s="34">
        <v>0</v>
      </c>
      <c r="Y163" s="34">
        <v>0</v>
      </c>
      <c r="Z163" s="34"/>
      <c r="AA163" s="33">
        <v>0</v>
      </c>
      <c r="AB163" s="34">
        <f t="shared" si="259"/>
        <v>0</v>
      </c>
      <c r="AC163" s="33"/>
      <c r="AD163" s="33"/>
      <c r="AE163" s="33"/>
      <c r="AF163" s="65">
        <f t="shared" si="260"/>
        <v>0</v>
      </c>
      <c r="AG163" s="33">
        <f t="shared" si="261"/>
        <v>0</v>
      </c>
      <c r="AH163" s="65">
        <f t="shared" si="232"/>
        <v>0</v>
      </c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>
        <v>0</v>
      </c>
      <c r="BJ163" s="33"/>
      <c r="BK163" s="33"/>
      <c r="BL163" s="33"/>
      <c r="BM163" s="33"/>
      <c r="BN163" s="33"/>
      <c r="BO163" s="33"/>
      <c r="BP163" s="33"/>
      <c r="BQ163" s="33"/>
      <c r="BR163" s="33"/>
      <c r="BT163" s="65">
        <f t="shared" si="263"/>
        <v>0</v>
      </c>
      <c r="BU163" s="33">
        <f t="shared" si="262"/>
        <v>0</v>
      </c>
      <c r="BV163" s="65">
        <f t="shared" si="235"/>
        <v>0</v>
      </c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>
        <v>0</v>
      </c>
      <c r="CW163" s="33">
        <v>0</v>
      </c>
      <c r="CX163" s="33"/>
      <c r="CY163" s="33"/>
      <c r="CZ163" s="33"/>
      <c r="DA163" s="33"/>
      <c r="DB163" s="33"/>
      <c r="DC163" s="33"/>
      <c r="DD163" s="33"/>
      <c r="DE163" s="33"/>
      <c r="DF163" s="66"/>
    </row>
    <row r="164" spans="1:110" ht="24.95" customHeight="1">
      <c r="A164" s="92">
        <v>139</v>
      </c>
      <c r="B164" s="93" t="s">
        <v>303</v>
      </c>
      <c r="C164" s="85" t="s">
        <v>307</v>
      </c>
      <c r="D164" s="31"/>
      <c r="E164" s="70"/>
      <c r="F164" s="60" t="s">
        <v>309</v>
      </c>
      <c r="G164" s="64">
        <v>0</v>
      </c>
      <c r="H164" s="76">
        <v>0</v>
      </c>
      <c r="I164" s="64">
        <v>0</v>
      </c>
      <c r="J164" s="33"/>
      <c r="K164" s="33"/>
      <c r="L164" s="33">
        <f t="shared" si="254"/>
        <v>0</v>
      </c>
      <c r="M164" s="34"/>
      <c r="N164" s="33">
        <f t="shared" si="255"/>
        <v>0</v>
      </c>
      <c r="O164" s="33">
        <f t="shared" si="228"/>
        <v>0</v>
      </c>
      <c r="P164" s="34">
        <f t="shared" si="256"/>
        <v>0</v>
      </c>
      <c r="Q164" s="34">
        <f t="shared" si="257"/>
        <v>0</v>
      </c>
      <c r="R164" s="33">
        <f t="shared" si="258"/>
        <v>0</v>
      </c>
      <c r="S164" s="36">
        <v>46242</v>
      </c>
      <c r="T164" s="34">
        <v>0</v>
      </c>
      <c r="U164" s="34">
        <v>0</v>
      </c>
      <c r="V164" s="34">
        <v>0</v>
      </c>
      <c r="W164" s="34">
        <v>0</v>
      </c>
      <c r="X164" s="34">
        <v>0</v>
      </c>
      <c r="Y164" s="34">
        <v>0</v>
      </c>
      <c r="Z164" s="34"/>
      <c r="AA164" s="33">
        <v>0</v>
      </c>
      <c r="AB164" s="34">
        <f t="shared" si="259"/>
        <v>0</v>
      </c>
      <c r="AC164" s="33"/>
      <c r="AD164" s="33"/>
      <c r="AE164" s="33"/>
      <c r="AF164" s="65">
        <f t="shared" si="260"/>
        <v>0</v>
      </c>
      <c r="AG164" s="33">
        <f t="shared" si="261"/>
        <v>0</v>
      </c>
      <c r="AH164" s="65">
        <f t="shared" si="232"/>
        <v>0</v>
      </c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>
        <v>0</v>
      </c>
      <c r="BJ164" s="33"/>
      <c r="BK164" s="33"/>
      <c r="BL164" s="33"/>
      <c r="BM164" s="33"/>
      <c r="BN164" s="33"/>
      <c r="BO164" s="33"/>
      <c r="BP164" s="33"/>
      <c r="BQ164" s="33"/>
      <c r="BR164" s="33"/>
      <c r="BT164" s="65">
        <f t="shared" si="263"/>
        <v>0</v>
      </c>
      <c r="BU164" s="33">
        <f t="shared" si="262"/>
        <v>0</v>
      </c>
      <c r="BV164" s="65">
        <f t="shared" si="235"/>
        <v>0</v>
      </c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>
        <v>0</v>
      </c>
      <c r="CW164" s="33">
        <v>0</v>
      </c>
      <c r="CX164" s="33"/>
      <c r="CY164" s="33"/>
      <c r="CZ164" s="33"/>
      <c r="DA164" s="33"/>
      <c r="DB164" s="33"/>
      <c r="DC164" s="33"/>
      <c r="DD164" s="33"/>
      <c r="DE164" s="33"/>
      <c r="DF164" s="66"/>
    </row>
    <row r="165" spans="1:110" ht="24.95" customHeight="1">
      <c r="A165" s="92">
        <v>140</v>
      </c>
      <c r="B165" s="93" t="s">
        <v>304</v>
      </c>
      <c r="C165" s="85" t="s">
        <v>308</v>
      </c>
      <c r="D165" s="31"/>
      <c r="E165" s="70"/>
      <c r="F165" s="60" t="s">
        <v>256</v>
      </c>
      <c r="G165" s="64">
        <v>0</v>
      </c>
      <c r="H165" s="76">
        <v>0</v>
      </c>
      <c r="I165" s="64">
        <v>0</v>
      </c>
      <c r="J165" s="33"/>
      <c r="K165" s="33"/>
      <c r="L165" s="33">
        <f t="shared" si="254"/>
        <v>0</v>
      </c>
      <c r="M165" s="34"/>
      <c r="N165" s="33">
        <f t="shared" si="255"/>
        <v>0</v>
      </c>
      <c r="O165" s="33">
        <f t="shared" si="228"/>
        <v>0</v>
      </c>
      <c r="P165" s="34">
        <f t="shared" si="256"/>
        <v>0</v>
      </c>
      <c r="Q165" s="34">
        <f t="shared" si="257"/>
        <v>0</v>
      </c>
      <c r="R165" s="33">
        <f t="shared" si="258"/>
        <v>0</v>
      </c>
      <c r="S165" s="36">
        <v>47032</v>
      </c>
      <c r="T165" s="34">
        <v>0</v>
      </c>
      <c r="U165" s="34">
        <v>0</v>
      </c>
      <c r="V165" s="34">
        <v>0</v>
      </c>
      <c r="W165" s="34">
        <v>0</v>
      </c>
      <c r="X165" s="34">
        <v>0</v>
      </c>
      <c r="Y165" s="34">
        <v>0</v>
      </c>
      <c r="Z165" s="34"/>
      <c r="AA165" s="33">
        <v>0</v>
      </c>
      <c r="AB165" s="34">
        <f t="shared" si="259"/>
        <v>0</v>
      </c>
      <c r="AC165" s="33"/>
      <c r="AD165" s="33"/>
      <c r="AE165" s="33"/>
      <c r="AF165" s="65">
        <f t="shared" si="260"/>
        <v>0</v>
      </c>
      <c r="AG165" s="33">
        <f t="shared" si="261"/>
        <v>0</v>
      </c>
      <c r="AH165" s="65">
        <f t="shared" si="232"/>
        <v>0</v>
      </c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>
        <v>0</v>
      </c>
      <c r="BJ165" s="33"/>
      <c r="BK165" s="33"/>
      <c r="BL165" s="33"/>
      <c r="BM165" s="33"/>
      <c r="BN165" s="33"/>
      <c r="BO165" s="33"/>
      <c r="BP165" s="33"/>
      <c r="BQ165" s="33"/>
      <c r="BR165" s="33"/>
      <c r="BT165" s="65">
        <f t="shared" si="263"/>
        <v>0</v>
      </c>
      <c r="BU165" s="33">
        <f t="shared" si="262"/>
        <v>0</v>
      </c>
      <c r="BV165" s="65">
        <f t="shared" si="235"/>
        <v>0</v>
      </c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>
        <v>0</v>
      </c>
      <c r="CW165" s="33">
        <v>0</v>
      </c>
      <c r="CX165" s="33"/>
      <c r="CY165" s="33"/>
      <c r="CZ165" s="33"/>
      <c r="DA165" s="33"/>
      <c r="DB165" s="33"/>
      <c r="DC165" s="33"/>
      <c r="DD165" s="33"/>
      <c r="DE165" s="33"/>
      <c r="DF165" s="66"/>
    </row>
    <row r="166" spans="1:110" ht="24.95" customHeight="1">
      <c r="A166" s="92">
        <v>141</v>
      </c>
      <c r="B166" s="93" t="s">
        <v>305</v>
      </c>
      <c r="C166" s="85" t="s">
        <v>308</v>
      </c>
      <c r="D166" s="31"/>
      <c r="E166" s="70"/>
      <c r="F166" s="60" t="s">
        <v>308</v>
      </c>
      <c r="G166" s="64">
        <v>0</v>
      </c>
      <c r="H166" s="76">
        <v>0</v>
      </c>
      <c r="I166" s="64">
        <v>0</v>
      </c>
      <c r="J166" s="33"/>
      <c r="K166" s="33"/>
      <c r="L166" s="33">
        <f t="shared" si="254"/>
        <v>0</v>
      </c>
      <c r="M166" s="34"/>
      <c r="N166" s="33">
        <f t="shared" si="255"/>
        <v>0</v>
      </c>
      <c r="O166" s="33">
        <f t="shared" ref="O166:O167" si="264">M166*N166</f>
        <v>0</v>
      </c>
      <c r="P166" s="34">
        <f t="shared" si="256"/>
        <v>0</v>
      </c>
      <c r="Q166" s="34">
        <f t="shared" si="257"/>
        <v>0</v>
      </c>
      <c r="R166" s="33">
        <f t="shared" si="258"/>
        <v>0</v>
      </c>
      <c r="S166" s="36">
        <v>47003</v>
      </c>
      <c r="T166" s="34">
        <v>0</v>
      </c>
      <c r="U166" s="34">
        <v>0</v>
      </c>
      <c r="V166" s="34">
        <v>0</v>
      </c>
      <c r="W166" s="34">
        <v>0</v>
      </c>
      <c r="X166" s="34">
        <v>0</v>
      </c>
      <c r="Y166" s="34">
        <v>0</v>
      </c>
      <c r="Z166" s="34"/>
      <c r="AA166" s="33">
        <v>0</v>
      </c>
      <c r="AB166" s="34">
        <f t="shared" si="259"/>
        <v>0</v>
      </c>
      <c r="AC166" s="33"/>
      <c r="AD166" s="33"/>
      <c r="AE166" s="33"/>
      <c r="AF166" s="65">
        <f t="shared" si="260"/>
        <v>0</v>
      </c>
      <c r="AG166" s="33">
        <f t="shared" si="261"/>
        <v>0</v>
      </c>
      <c r="AH166" s="65">
        <f t="shared" ref="AH166:AH167" si="265">SUMIF($AI$6:$BR$6,$AH$6,AI166:BR166)</f>
        <v>0</v>
      </c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>
        <v>0</v>
      </c>
      <c r="BJ166" s="33"/>
      <c r="BK166" s="33"/>
      <c r="BL166" s="33"/>
      <c r="BM166" s="33"/>
      <c r="BN166" s="33"/>
      <c r="BO166" s="33"/>
      <c r="BP166" s="33"/>
      <c r="BQ166" s="33"/>
      <c r="BR166" s="33"/>
      <c r="BT166" s="65">
        <f t="shared" si="263"/>
        <v>0</v>
      </c>
      <c r="BU166" s="33">
        <f t="shared" si="262"/>
        <v>0</v>
      </c>
      <c r="BV166" s="65">
        <f t="shared" ref="BV166:BV167" si="266">SUMIF($BW$6:$DF$6,$BV$6,BW166:DF166)</f>
        <v>0</v>
      </c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>
        <v>0</v>
      </c>
      <c r="CW166" s="33">
        <v>0</v>
      </c>
      <c r="CX166" s="33"/>
      <c r="CY166" s="33"/>
      <c r="CZ166" s="33"/>
      <c r="DA166" s="33"/>
      <c r="DB166" s="33"/>
      <c r="DC166" s="33"/>
      <c r="DD166" s="33"/>
      <c r="DE166" s="33"/>
      <c r="DF166" s="66"/>
    </row>
    <row r="167" spans="1:110" ht="24.95" customHeight="1">
      <c r="A167" s="92">
        <v>142</v>
      </c>
      <c r="B167" s="94" t="s">
        <v>306</v>
      </c>
      <c r="C167" s="95" t="s">
        <v>308</v>
      </c>
      <c r="D167" s="96"/>
      <c r="E167" s="97"/>
      <c r="F167" s="98" t="s">
        <v>256</v>
      </c>
      <c r="G167" s="99">
        <v>0</v>
      </c>
      <c r="H167" s="100">
        <v>0</v>
      </c>
      <c r="I167" s="99">
        <v>0</v>
      </c>
      <c r="J167" s="101"/>
      <c r="K167" s="101"/>
      <c r="L167" s="101">
        <f t="shared" si="254"/>
        <v>0</v>
      </c>
      <c r="M167" s="102"/>
      <c r="N167" s="101">
        <f t="shared" si="255"/>
        <v>0</v>
      </c>
      <c r="O167" s="101">
        <f t="shared" si="264"/>
        <v>0</v>
      </c>
      <c r="P167" s="102">
        <f t="shared" si="256"/>
        <v>0</v>
      </c>
      <c r="Q167" s="34">
        <f t="shared" si="257"/>
        <v>0</v>
      </c>
      <c r="R167" s="101">
        <f t="shared" si="258"/>
        <v>0</v>
      </c>
      <c r="S167" s="103">
        <v>47032</v>
      </c>
      <c r="T167" s="102">
        <v>0</v>
      </c>
      <c r="U167" s="102">
        <v>0</v>
      </c>
      <c r="V167" s="102">
        <v>0</v>
      </c>
      <c r="W167" s="102">
        <v>0</v>
      </c>
      <c r="X167" s="102">
        <v>0</v>
      </c>
      <c r="Y167" s="102">
        <v>0</v>
      </c>
      <c r="Z167" s="102"/>
      <c r="AA167" s="101">
        <v>0</v>
      </c>
      <c r="AB167" s="102">
        <f t="shared" si="259"/>
        <v>0</v>
      </c>
      <c r="AC167" s="101"/>
      <c r="AD167" s="101"/>
      <c r="AE167" s="101"/>
      <c r="AF167" s="104">
        <f t="shared" si="260"/>
        <v>0</v>
      </c>
      <c r="AG167" s="101">
        <f t="shared" si="261"/>
        <v>0</v>
      </c>
      <c r="AH167" s="104">
        <f t="shared" si="265"/>
        <v>0</v>
      </c>
      <c r="AI167" s="101"/>
      <c r="AJ167" s="101"/>
      <c r="AK167" s="101"/>
      <c r="AL167" s="101"/>
      <c r="AM167" s="101"/>
      <c r="AN167" s="101"/>
      <c r="AO167" s="101"/>
      <c r="AP167" s="101"/>
      <c r="AQ167" s="101"/>
      <c r="AR167" s="101"/>
      <c r="AS167" s="101"/>
      <c r="AT167" s="101"/>
      <c r="AU167" s="101"/>
      <c r="AV167" s="101"/>
      <c r="AW167" s="101"/>
      <c r="AX167" s="101"/>
      <c r="AY167" s="101"/>
      <c r="AZ167" s="101"/>
      <c r="BA167" s="101"/>
      <c r="BB167" s="101"/>
      <c r="BC167" s="101"/>
      <c r="BD167" s="101"/>
      <c r="BE167" s="101"/>
      <c r="BF167" s="101"/>
      <c r="BG167" s="101"/>
      <c r="BH167" s="101"/>
      <c r="BI167" s="101">
        <v>0</v>
      </c>
      <c r="BJ167" s="101"/>
      <c r="BK167" s="101"/>
      <c r="BL167" s="101"/>
      <c r="BM167" s="101"/>
      <c r="BN167" s="101"/>
      <c r="BO167" s="101"/>
      <c r="BP167" s="101"/>
      <c r="BQ167" s="101"/>
      <c r="BR167" s="101"/>
      <c r="BT167" s="104">
        <f t="shared" si="263"/>
        <v>0</v>
      </c>
      <c r="BU167" s="101">
        <f t="shared" si="262"/>
        <v>0</v>
      </c>
      <c r="BV167" s="104">
        <f t="shared" si="266"/>
        <v>0</v>
      </c>
      <c r="BW167" s="101"/>
      <c r="BX167" s="101"/>
      <c r="BY167" s="101"/>
      <c r="BZ167" s="101"/>
      <c r="CA167" s="101"/>
      <c r="CB167" s="101"/>
      <c r="CC167" s="101"/>
      <c r="CD167" s="101"/>
      <c r="CE167" s="101"/>
      <c r="CF167" s="101"/>
      <c r="CG167" s="101"/>
      <c r="CH167" s="101"/>
      <c r="CI167" s="101"/>
      <c r="CJ167" s="101"/>
      <c r="CK167" s="101"/>
      <c r="CL167" s="101"/>
      <c r="CM167" s="101"/>
      <c r="CN167" s="101"/>
      <c r="CO167" s="101"/>
      <c r="CP167" s="101"/>
      <c r="CQ167" s="101"/>
      <c r="CR167" s="101"/>
      <c r="CS167" s="101"/>
      <c r="CT167" s="101"/>
      <c r="CU167" s="101"/>
      <c r="CV167" s="101">
        <v>0</v>
      </c>
      <c r="CW167" s="101">
        <v>0</v>
      </c>
      <c r="CX167" s="101"/>
      <c r="CY167" s="101"/>
      <c r="CZ167" s="101"/>
      <c r="DA167" s="101"/>
      <c r="DB167" s="101"/>
      <c r="DC167" s="101"/>
      <c r="DD167" s="101"/>
      <c r="DE167" s="101"/>
      <c r="DF167" s="105"/>
    </row>
    <row r="169" spans="1:110" ht="30" customHeight="1">
      <c r="N169" s="3"/>
      <c r="AA169" s="3"/>
    </row>
    <row r="170" spans="1:110" s="144" customFormat="1" ht="30" customHeight="1">
      <c r="A170" s="145"/>
      <c r="B170" s="146"/>
      <c r="C170" s="146"/>
      <c r="D170" s="147"/>
      <c r="G170" s="148"/>
      <c r="H170" s="148"/>
      <c r="I170" s="148"/>
      <c r="J170" s="149"/>
      <c r="K170" s="150"/>
      <c r="L170" s="143"/>
      <c r="O170" s="143"/>
      <c r="R170" s="143"/>
      <c r="S170" s="151"/>
      <c r="X170" s="210" t="s">
        <v>326</v>
      </c>
      <c r="Y170" s="210"/>
      <c r="Z170" s="210"/>
      <c r="AA170" s="210"/>
      <c r="AB170" s="210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  <c r="BG170" s="143"/>
      <c r="BH170" s="143"/>
      <c r="BI170" s="143"/>
      <c r="BJ170" s="143"/>
      <c r="BK170" s="143"/>
      <c r="BL170" s="143"/>
      <c r="BM170" s="143"/>
      <c r="BN170" s="143"/>
      <c r="BO170" s="143"/>
      <c r="BP170" s="143"/>
      <c r="BQ170" s="143"/>
      <c r="BR170" s="143"/>
      <c r="BT170" s="143"/>
      <c r="BU170" s="143"/>
      <c r="BV170" s="143"/>
      <c r="BW170" s="143"/>
      <c r="BX170" s="143"/>
      <c r="BY170" s="143"/>
      <c r="BZ170" s="143"/>
      <c r="CA170" s="143"/>
      <c r="CB170" s="143"/>
      <c r="CC170" s="143"/>
      <c r="CD170" s="143"/>
      <c r="CE170" s="143"/>
      <c r="CF170" s="143"/>
      <c r="CG170" s="143"/>
      <c r="CH170" s="143"/>
      <c r="CI170" s="143"/>
      <c r="CJ170" s="143"/>
      <c r="CK170" s="143"/>
      <c r="CL170" s="143"/>
      <c r="CM170" s="143"/>
      <c r="CN170" s="143"/>
      <c r="CO170" s="143"/>
      <c r="CP170" s="143"/>
      <c r="CQ170" s="143"/>
      <c r="CR170" s="143"/>
      <c r="CS170" s="143"/>
      <c r="CT170" s="143"/>
      <c r="CU170" s="143"/>
      <c r="CV170" s="143"/>
      <c r="CW170" s="143"/>
      <c r="CX170" s="143"/>
      <c r="CY170" s="143"/>
      <c r="CZ170" s="143"/>
      <c r="DA170" s="143"/>
      <c r="DB170" s="143"/>
      <c r="DC170" s="143"/>
      <c r="DD170" s="143"/>
      <c r="DE170" s="143"/>
      <c r="DF170" s="143"/>
    </row>
    <row r="171" spans="1:110" s="144" customFormat="1" ht="30" customHeight="1">
      <c r="A171" s="145"/>
      <c r="B171" s="211" t="s">
        <v>322</v>
      </c>
      <c r="C171" s="211"/>
      <c r="D171" s="211"/>
      <c r="G171" s="148"/>
      <c r="H171" s="148"/>
      <c r="I171" s="148"/>
      <c r="J171" s="149"/>
      <c r="K171" s="150"/>
      <c r="L171" s="143"/>
      <c r="O171" s="143"/>
      <c r="R171" s="143"/>
      <c r="S171" s="151"/>
      <c r="X171" s="212" t="s">
        <v>323</v>
      </c>
      <c r="Y171" s="212"/>
      <c r="Z171" s="212"/>
      <c r="AA171" s="212"/>
      <c r="AB171" s="212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  <c r="BG171" s="143"/>
      <c r="BH171" s="143"/>
      <c r="BI171" s="143"/>
      <c r="BJ171" s="143"/>
      <c r="BK171" s="143"/>
      <c r="BL171" s="143"/>
      <c r="BM171" s="143"/>
      <c r="BN171" s="143"/>
      <c r="BO171" s="143"/>
      <c r="BP171" s="143"/>
      <c r="BQ171" s="143"/>
      <c r="BR171" s="143"/>
      <c r="BT171" s="143"/>
      <c r="BU171" s="143"/>
      <c r="BV171" s="143"/>
      <c r="BW171" s="143"/>
      <c r="BX171" s="143"/>
      <c r="BY171" s="143"/>
      <c r="BZ171" s="143"/>
      <c r="CA171" s="143"/>
      <c r="CB171" s="143"/>
      <c r="CC171" s="143"/>
      <c r="CD171" s="143"/>
      <c r="CE171" s="143"/>
      <c r="CF171" s="143"/>
      <c r="CG171" s="143"/>
      <c r="CH171" s="143"/>
      <c r="CI171" s="143"/>
      <c r="CJ171" s="143"/>
      <c r="CK171" s="143"/>
      <c r="CL171" s="143"/>
      <c r="CM171" s="143"/>
      <c r="CN171" s="143"/>
      <c r="CO171" s="143"/>
      <c r="CP171" s="143"/>
      <c r="CQ171" s="143"/>
      <c r="CR171" s="143"/>
      <c r="CS171" s="143"/>
      <c r="CT171" s="143"/>
      <c r="CU171" s="143"/>
      <c r="CV171" s="143"/>
      <c r="CW171" s="143"/>
      <c r="CX171" s="143"/>
      <c r="CY171" s="143"/>
      <c r="CZ171" s="143"/>
      <c r="DA171" s="143"/>
      <c r="DB171" s="143"/>
      <c r="DC171" s="143"/>
      <c r="DD171" s="143"/>
      <c r="DE171" s="143"/>
      <c r="DF171" s="143"/>
    </row>
    <row r="172" spans="1:110" s="144" customFormat="1" ht="30" customHeight="1">
      <c r="A172" s="145"/>
      <c r="B172" s="146"/>
      <c r="C172" s="146"/>
      <c r="D172" s="147"/>
      <c r="G172" s="148"/>
      <c r="H172" s="148"/>
      <c r="I172" s="148"/>
      <c r="J172" s="149"/>
      <c r="K172" s="150"/>
      <c r="L172" s="143"/>
      <c r="O172" s="143"/>
      <c r="R172" s="143"/>
      <c r="S172" s="151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  <c r="BG172" s="143"/>
      <c r="BH172" s="143"/>
      <c r="BI172" s="143"/>
      <c r="BJ172" s="143"/>
      <c r="BK172" s="143"/>
      <c r="BL172" s="143"/>
      <c r="BM172" s="143"/>
      <c r="BN172" s="143"/>
      <c r="BO172" s="143"/>
      <c r="BP172" s="143"/>
      <c r="BQ172" s="143"/>
      <c r="BR172" s="143"/>
      <c r="BT172" s="143"/>
      <c r="BU172" s="143"/>
      <c r="BV172" s="143"/>
      <c r="BW172" s="143"/>
      <c r="BX172" s="143"/>
      <c r="BY172" s="143"/>
      <c r="BZ172" s="143"/>
      <c r="CA172" s="143"/>
      <c r="CB172" s="143"/>
      <c r="CC172" s="143"/>
      <c r="CD172" s="143"/>
      <c r="CE172" s="143"/>
      <c r="CF172" s="143"/>
      <c r="CG172" s="143"/>
      <c r="CH172" s="143"/>
      <c r="CI172" s="143"/>
      <c r="CJ172" s="143"/>
      <c r="CK172" s="143"/>
      <c r="CL172" s="143"/>
      <c r="CM172" s="143"/>
      <c r="CN172" s="143"/>
      <c r="CO172" s="143"/>
      <c r="CP172" s="143"/>
      <c r="CQ172" s="143"/>
      <c r="CR172" s="143"/>
      <c r="CS172" s="143"/>
      <c r="CT172" s="143"/>
      <c r="CU172" s="143"/>
      <c r="CV172" s="143"/>
      <c r="CW172" s="143"/>
      <c r="CX172" s="143"/>
      <c r="CY172" s="143"/>
      <c r="CZ172" s="143"/>
      <c r="DA172" s="143"/>
      <c r="DB172" s="143"/>
      <c r="DC172" s="143"/>
      <c r="DD172" s="143"/>
      <c r="DE172" s="143"/>
      <c r="DF172" s="143"/>
    </row>
    <row r="173" spans="1:110" s="144" customFormat="1" ht="30" customHeight="1">
      <c r="A173" s="145"/>
      <c r="B173" s="146"/>
      <c r="C173" s="146"/>
      <c r="D173" s="147"/>
      <c r="G173" s="148"/>
      <c r="H173" s="148"/>
      <c r="I173" s="148"/>
      <c r="J173" s="149"/>
      <c r="K173" s="150"/>
      <c r="L173" s="143"/>
      <c r="O173" s="143"/>
      <c r="R173" s="143"/>
      <c r="S173" s="151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  <c r="BG173" s="143"/>
      <c r="BH173" s="143"/>
      <c r="BI173" s="143"/>
      <c r="BJ173" s="143"/>
      <c r="BK173" s="143"/>
      <c r="BL173" s="143"/>
      <c r="BM173" s="143"/>
      <c r="BN173" s="143"/>
      <c r="BO173" s="143"/>
      <c r="BP173" s="143"/>
      <c r="BQ173" s="143"/>
      <c r="BR173" s="143"/>
      <c r="BT173" s="143"/>
      <c r="BU173" s="143"/>
      <c r="BV173" s="143"/>
      <c r="BW173" s="143"/>
      <c r="BX173" s="143"/>
      <c r="BY173" s="143"/>
      <c r="BZ173" s="143"/>
      <c r="CA173" s="143"/>
      <c r="CB173" s="143"/>
      <c r="CC173" s="143"/>
      <c r="CD173" s="143"/>
      <c r="CE173" s="143"/>
      <c r="CF173" s="143"/>
      <c r="CG173" s="143"/>
      <c r="CH173" s="143"/>
      <c r="CI173" s="143"/>
      <c r="CJ173" s="143"/>
      <c r="CK173" s="143"/>
      <c r="CL173" s="143"/>
      <c r="CM173" s="143"/>
      <c r="CN173" s="143"/>
      <c r="CO173" s="143"/>
      <c r="CP173" s="143"/>
      <c r="CQ173" s="143"/>
      <c r="CR173" s="143"/>
      <c r="CS173" s="143"/>
      <c r="CT173" s="143"/>
      <c r="CU173" s="143"/>
      <c r="CV173" s="143"/>
      <c r="CW173" s="143"/>
      <c r="CX173" s="143"/>
      <c r="CY173" s="143"/>
      <c r="CZ173" s="143"/>
      <c r="DA173" s="143"/>
      <c r="DB173" s="143"/>
      <c r="DC173" s="143"/>
      <c r="DD173" s="143"/>
      <c r="DE173" s="143"/>
      <c r="DF173" s="143"/>
    </row>
    <row r="174" spans="1:110" s="144" customFormat="1" ht="30" customHeight="1">
      <c r="A174" s="145"/>
      <c r="B174" s="146"/>
      <c r="C174" s="146"/>
      <c r="D174" s="147"/>
      <c r="G174" s="148"/>
      <c r="H174" s="148"/>
      <c r="I174" s="148"/>
      <c r="J174" s="149"/>
      <c r="K174" s="150"/>
      <c r="L174" s="143"/>
      <c r="O174" s="143"/>
      <c r="R174" s="143"/>
      <c r="S174" s="151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  <c r="BG174" s="143"/>
      <c r="BH174" s="143"/>
      <c r="BI174" s="143"/>
      <c r="BJ174" s="143"/>
      <c r="BK174" s="143"/>
      <c r="BL174" s="143"/>
      <c r="BM174" s="143"/>
      <c r="BN174" s="143"/>
      <c r="BO174" s="143"/>
      <c r="BP174" s="143"/>
      <c r="BQ174" s="143"/>
      <c r="BR174" s="143"/>
      <c r="BT174" s="143"/>
      <c r="BU174" s="143"/>
      <c r="BV174" s="143"/>
      <c r="BW174" s="143"/>
      <c r="BX174" s="143"/>
      <c r="BY174" s="143"/>
      <c r="BZ174" s="143"/>
      <c r="CA174" s="143"/>
      <c r="CB174" s="143"/>
      <c r="CC174" s="143"/>
      <c r="CD174" s="143"/>
      <c r="CE174" s="143"/>
      <c r="CF174" s="143"/>
      <c r="CG174" s="143"/>
      <c r="CH174" s="143"/>
      <c r="CI174" s="143"/>
      <c r="CJ174" s="143"/>
      <c r="CK174" s="143"/>
      <c r="CL174" s="143"/>
      <c r="CM174" s="143"/>
      <c r="CN174" s="143"/>
      <c r="CO174" s="143"/>
      <c r="CP174" s="143"/>
      <c r="CQ174" s="143"/>
      <c r="CR174" s="143"/>
      <c r="CS174" s="143"/>
      <c r="CT174" s="143"/>
      <c r="CU174" s="143"/>
      <c r="CV174" s="143"/>
      <c r="CW174" s="143"/>
      <c r="CX174" s="143"/>
      <c r="CY174" s="143"/>
      <c r="CZ174" s="143"/>
      <c r="DA174" s="143"/>
      <c r="DB174" s="143"/>
      <c r="DC174" s="143"/>
      <c r="DD174" s="143"/>
      <c r="DE174" s="143"/>
      <c r="DF174" s="143"/>
    </row>
    <row r="175" spans="1:110" s="144" customFormat="1" ht="30" customHeight="1">
      <c r="A175" s="145"/>
      <c r="B175" s="146"/>
      <c r="C175" s="146"/>
      <c r="D175" s="147"/>
      <c r="G175" s="148"/>
      <c r="H175" s="148"/>
      <c r="I175" s="148"/>
      <c r="J175" s="149"/>
      <c r="K175" s="150"/>
      <c r="L175" s="143"/>
      <c r="O175" s="143"/>
      <c r="R175" s="143"/>
      <c r="S175" s="151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  <c r="BG175" s="143"/>
      <c r="BH175" s="143"/>
      <c r="BI175" s="143"/>
      <c r="BJ175" s="143"/>
      <c r="BK175" s="143"/>
      <c r="BL175" s="143"/>
      <c r="BM175" s="143"/>
      <c r="BN175" s="143"/>
      <c r="BO175" s="143"/>
      <c r="BP175" s="143"/>
      <c r="BQ175" s="143"/>
      <c r="BR175" s="143"/>
      <c r="BT175" s="143"/>
      <c r="BU175" s="143"/>
      <c r="BV175" s="143"/>
      <c r="BW175" s="143"/>
      <c r="BX175" s="143"/>
      <c r="BY175" s="143"/>
      <c r="BZ175" s="143"/>
      <c r="CA175" s="143"/>
      <c r="CB175" s="143"/>
      <c r="CC175" s="143"/>
      <c r="CD175" s="143"/>
      <c r="CE175" s="143"/>
      <c r="CF175" s="143"/>
      <c r="CG175" s="143"/>
      <c r="CH175" s="143"/>
      <c r="CI175" s="143"/>
      <c r="CJ175" s="143"/>
      <c r="CK175" s="143"/>
      <c r="CL175" s="143"/>
      <c r="CM175" s="143"/>
      <c r="CN175" s="143"/>
      <c r="CO175" s="143"/>
      <c r="CP175" s="143"/>
      <c r="CQ175" s="143"/>
      <c r="CR175" s="143"/>
      <c r="CS175" s="143"/>
      <c r="CT175" s="143"/>
      <c r="CU175" s="143"/>
      <c r="CV175" s="143"/>
      <c r="CW175" s="143"/>
      <c r="CX175" s="143"/>
      <c r="CY175" s="143"/>
      <c r="CZ175" s="143"/>
      <c r="DA175" s="143"/>
      <c r="DB175" s="143"/>
      <c r="DC175" s="143"/>
      <c r="DD175" s="143"/>
      <c r="DE175" s="143"/>
      <c r="DF175" s="143"/>
    </row>
    <row r="176" spans="1:110" s="144" customFormat="1" ht="30" customHeight="1">
      <c r="A176" s="145"/>
      <c r="B176" s="146"/>
      <c r="C176" s="146"/>
      <c r="D176" s="147"/>
      <c r="G176" s="148"/>
      <c r="H176" s="148"/>
      <c r="I176" s="148"/>
      <c r="J176" s="149"/>
      <c r="K176" s="150"/>
      <c r="L176" s="143"/>
      <c r="O176" s="143"/>
      <c r="R176" s="143"/>
      <c r="S176" s="151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/>
      <c r="AX176" s="143"/>
      <c r="AY176" s="143"/>
      <c r="AZ176" s="143"/>
      <c r="BA176" s="143"/>
      <c r="BB176" s="143"/>
      <c r="BC176" s="143"/>
      <c r="BD176" s="143"/>
      <c r="BE176" s="143"/>
      <c r="BF176" s="143"/>
      <c r="BG176" s="143"/>
      <c r="BH176" s="143"/>
      <c r="BI176" s="143"/>
      <c r="BJ176" s="143"/>
      <c r="BK176" s="143"/>
      <c r="BL176" s="143"/>
      <c r="BM176" s="143"/>
      <c r="BN176" s="143"/>
      <c r="BO176" s="143"/>
      <c r="BP176" s="143"/>
      <c r="BQ176" s="143"/>
      <c r="BR176" s="143"/>
      <c r="BT176" s="143"/>
      <c r="BU176" s="143"/>
      <c r="BV176" s="143"/>
      <c r="BW176" s="143"/>
      <c r="BX176" s="143"/>
      <c r="BY176" s="143"/>
      <c r="BZ176" s="143"/>
      <c r="CA176" s="143"/>
      <c r="CB176" s="143"/>
      <c r="CC176" s="143"/>
      <c r="CD176" s="143"/>
      <c r="CE176" s="143"/>
      <c r="CF176" s="143"/>
      <c r="CG176" s="143"/>
      <c r="CH176" s="143"/>
      <c r="CI176" s="143"/>
      <c r="CJ176" s="143"/>
      <c r="CK176" s="143"/>
      <c r="CL176" s="143"/>
      <c r="CM176" s="143"/>
      <c r="CN176" s="143"/>
      <c r="CO176" s="143"/>
      <c r="CP176" s="143"/>
      <c r="CQ176" s="143"/>
      <c r="CR176" s="143"/>
      <c r="CS176" s="143"/>
      <c r="CT176" s="143"/>
      <c r="CU176" s="143"/>
      <c r="CV176" s="143"/>
      <c r="CW176" s="143"/>
      <c r="CX176" s="143"/>
      <c r="CY176" s="143"/>
      <c r="CZ176" s="143"/>
      <c r="DA176" s="143"/>
      <c r="DB176" s="143"/>
      <c r="DC176" s="143"/>
      <c r="DD176" s="143"/>
      <c r="DE176" s="143"/>
      <c r="DF176" s="143"/>
    </row>
    <row r="177" spans="1:110" s="144" customFormat="1" ht="30" customHeight="1">
      <c r="A177" s="145"/>
      <c r="B177" s="211" t="s">
        <v>324</v>
      </c>
      <c r="C177" s="211"/>
      <c r="D177" s="211"/>
      <c r="G177" s="148"/>
      <c r="H177" s="148"/>
      <c r="I177" s="148"/>
      <c r="J177" s="149"/>
      <c r="K177" s="150"/>
      <c r="L177" s="143"/>
      <c r="O177" s="143"/>
      <c r="R177" s="143"/>
      <c r="S177" s="151"/>
      <c r="Y177" s="212" t="s">
        <v>325</v>
      </c>
      <c r="Z177" s="212"/>
      <c r="AA177" s="212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43"/>
      <c r="AU177" s="143"/>
      <c r="AV177" s="143"/>
      <c r="AW177" s="143"/>
      <c r="AX177" s="143"/>
      <c r="AY177" s="143"/>
      <c r="AZ177" s="143"/>
      <c r="BA177" s="143"/>
      <c r="BB177" s="143"/>
      <c r="BC177" s="143"/>
      <c r="BD177" s="143"/>
      <c r="BE177" s="143"/>
      <c r="BF177" s="143"/>
      <c r="BG177" s="143"/>
      <c r="BH177" s="143"/>
      <c r="BI177" s="143"/>
      <c r="BJ177" s="143"/>
      <c r="BK177" s="143"/>
      <c r="BL177" s="143"/>
      <c r="BM177" s="143"/>
      <c r="BN177" s="143"/>
      <c r="BO177" s="143"/>
      <c r="BP177" s="143"/>
      <c r="BQ177" s="143"/>
      <c r="BR177" s="143"/>
      <c r="BT177" s="143"/>
      <c r="BU177" s="143"/>
      <c r="BV177" s="143"/>
      <c r="BW177" s="143"/>
      <c r="BX177" s="143"/>
      <c r="BY177" s="143"/>
      <c r="BZ177" s="143"/>
      <c r="CA177" s="143"/>
      <c r="CB177" s="143"/>
      <c r="CC177" s="143"/>
      <c r="CD177" s="143"/>
      <c r="CE177" s="143"/>
      <c r="CF177" s="143"/>
      <c r="CG177" s="143"/>
      <c r="CH177" s="143"/>
      <c r="CI177" s="143"/>
      <c r="CJ177" s="143"/>
      <c r="CK177" s="143"/>
      <c r="CL177" s="143"/>
      <c r="CM177" s="143"/>
      <c r="CN177" s="143"/>
      <c r="CO177" s="143"/>
      <c r="CP177" s="143"/>
      <c r="CQ177" s="143"/>
      <c r="CR177" s="143"/>
      <c r="CS177" s="143"/>
      <c r="CT177" s="143"/>
      <c r="CU177" s="143"/>
      <c r="CV177" s="143"/>
      <c r="CW177" s="143"/>
      <c r="CX177" s="143"/>
      <c r="CY177" s="143"/>
      <c r="CZ177" s="143"/>
      <c r="DA177" s="143"/>
      <c r="DB177" s="143"/>
      <c r="DC177" s="143"/>
      <c r="DD177" s="143"/>
      <c r="DE177" s="143"/>
      <c r="DF177" s="143"/>
    </row>
  </sheetData>
  <mergeCells count="52">
    <mergeCell ref="X170:AB170"/>
    <mergeCell ref="B171:D171"/>
    <mergeCell ref="X171:AB171"/>
    <mergeCell ref="B177:D177"/>
    <mergeCell ref="Y177:AA177"/>
    <mergeCell ref="A8:F8"/>
    <mergeCell ref="A4:A6"/>
    <mergeCell ref="D4:D6"/>
    <mergeCell ref="E4:E6"/>
    <mergeCell ref="F4:F6"/>
    <mergeCell ref="B1:Y1"/>
    <mergeCell ref="Z1:AB1"/>
    <mergeCell ref="J4:O4"/>
    <mergeCell ref="J5:L5"/>
    <mergeCell ref="M5:O5"/>
    <mergeCell ref="B4:B6"/>
    <mergeCell ref="C4:C6"/>
    <mergeCell ref="G4:I5"/>
    <mergeCell ref="P4:R5"/>
    <mergeCell ref="S4:S6"/>
    <mergeCell ref="T4:Y4"/>
    <mergeCell ref="T5:V5"/>
    <mergeCell ref="W5:Y5"/>
    <mergeCell ref="BP4:BR5"/>
    <mergeCell ref="BS4:BS8"/>
    <mergeCell ref="Z4:AB5"/>
    <mergeCell ref="AF4:AH5"/>
    <mergeCell ref="AI4:AK5"/>
    <mergeCell ref="AL4:AN5"/>
    <mergeCell ref="AO4:AQ5"/>
    <mergeCell ref="AR4:AT5"/>
    <mergeCell ref="AU4:AW5"/>
    <mergeCell ref="AX4:AZ5"/>
    <mergeCell ref="BA4:BC5"/>
    <mergeCell ref="BD4:BF5"/>
    <mergeCell ref="BG4:BI5"/>
    <mergeCell ref="CX4:CZ5"/>
    <mergeCell ref="DA4:DC5"/>
    <mergeCell ref="DD4:DF5"/>
    <mergeCell ref="AC4:AE5"/>
    <mergeCell ref="CI4:CK5"/>
    <mergeCell ref="CL4:CN5"/>
    <mergeCell ref="CO4:CQ5"/>
    <mergeCell ref="CR4:CT5"/>
    <mergeCell ref="CU4:CW5"/>
    <mergeCell ref="BT4:BV5"/>
    <mergeCell ref="BW4:BY5"/>
    <mergeCell ref="BZ4:CB5"/>
    <mergeCell ref="CC4:CE5"/>
    <mergeCell ref="CF4:CH5"/>
    <mergeCell ref="BJ4:BL5"/>
    <mergeCell ref="BM4:BO5"/>
  </mergeCells>
  <printOptions horizontalCentered="1"/>
  <pageMargins left="0.25" right="0" top="0.21" bottom="0" header="0" footer="0"/>
  <pageSetup paperSize="9" scale="3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t9-mới</vt:lpstr>
      <vt:lpstr>'t9-mới'!Print_Titles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NHẠN, VŨ THỊ BÍCH (YTE)</dc:creator>
  <cp:lastModifiedBy>THẢO, PHAN THỊ ÚT</cp:lastModifiedBy>
  <cp:lastPrinted>2025-11-10T02:38:02Z</cp:lastPrinted>
  <dcterms:created xsi:type="dcterms:W3CDTF">2025-09-24T07:03:00Z</dcterms:created>
  <dcterms:modified xsi:type="dcterms:W3CDTF">2025-12-30T01:49:25Z</dcterms:modified>
</cp:coreProperties>
</file>